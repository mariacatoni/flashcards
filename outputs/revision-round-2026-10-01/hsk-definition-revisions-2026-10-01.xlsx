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51216177f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b5eb83f01c473c"/>
    <x:sheet xmlns:r="http://schemas.openxmlformats.org/officeDocument/2006/relationships" name="Revisions" sheetId="2" r:id="Rbad56c46973f4c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12">
    <x:font>
      <x:sz val="11"/>
      <x:name val="Carlito"/>
    </x:font>
    <x:font>
      <x:sz val="11"/>
      <x:color rgb="FF1F2933"/>
      <x:name val="Arial"/>
    </x:font>
    <x:font>
      <x:sz val="16"/>
      <x:color rgb="FF172B4D"/>
      <x:name val="Arial"/>
    </x:font>
    <x:font>
      <x:i/>
      <x:sz val="10"/>
      <x:color rgb="FF52606D"/>
      <x:name val="Arial"/>
    </x:font>
    <x:font>
      <x:b/>
      <x:sz val="10"/>
      <x:color rgb="FFFFFFFF"/>
      <x:name val="Arial"/>
    </x:font>
    <x:font>
      <x:b/>
      <x:sz val="10"/>
      <x:color rgb="FF243B53"/>
      <x:name val="Arial"/>
    </x:font>
    <x:font>
      <x:sz val="10"/>
      <x:color rgb="FF334E68"/>
      <x:name val="Arial"/>
    </x:font>
    <x:font>
      <x:sz val="10"/>
      <x:color rgb="FF1D5F8A"/>
      <x:name val="Arial"/>
    </x:font>
    <x:font>
      <x:sz val="11"/>
      <x:name val="Arial"/>
    </x:font>
    <x:font>
      <x:sz val="15"/>
      <x:color rgb="FF172B4D"/>
      <x:name val="Arial"/>
    </x:font>
    <x:font>
      <x:sz val="10"/>
      <x:color rgb="FF1F2933"/>
      <x:name val="Arial"/>
    </x:font>
    <x:font>
      <x:sz val="13"/>
      <x:color rgb="FF1F2933"/>
      <x:name val="Kaiti SC"/>
    </x:font>
  </x:fonts>
  <x:fills count="4">
    <x:fill>
      <x:patternFill patternType="none"/>
    </x:fill>
    <x:fill>
      <x:patternFill patternType="gray125"/>
    </x:fill>
    <x:fill>
      <x:patternFill patternType="solid">
        <x:fgColor rgb="FF314A5F"/>
      </x:patternFill>
    </x:fill>
    <x:fill>
      <x:patternFill patternType="solid">
        <x:fgColor rgb="FFE8EEF3"/>
      </x:patternFill>
    </x:fill>
  </x:fills>
  <x:borders count="8">
    <x:border/>
    <x:border>
      <x:bottom style="thin">
        <x:color rgb="FFAAB7C4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EC"/>
      </x:bottom>
    </x:border>
    <x:border>
      <x:left style="thin">
        <x:color rgb="FFBCCCDC"/>
      </x:left>
      <x:top style="thin">
        <x:color rgb="FFBCCCDC"/>
      </x:top>
      <x:bottom style="thin">
        <x:color rgb="FFBCCCDC"/>
      </x:bottom>
    </x:border>
    <x:border>
      <x:top style="thin">
        <x:color rgb="FFBCCCDC"/>
      </x:top>
      <x:bottom style="thin">
        <x:color rgb="FFBCCCDC"/>
      </x:bottom>
    </x:border>
    <x:border>
      <x:right style="thin">
        <x:color rgb="FFBCCCDC"/>
      </x:right>
      <x:top style="thin">
        <x:color rgb="FFBCCCDC"/>
      </x:top>
      <x:bottom style="thin">
        <x:color rgb="FFBCCCDC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0" fontId="1" fillId="0" borderId="4" xfId="0" applyNumberFormat="1" applyFont="1" applyFill="1" applyBorder="1"/>
    <x:xf numFmtId="200" fontId="1" fillId="0" borderId="4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6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horizontal="center" vertical="top"/>
    </x:xf>
    <x:xf numFmtId="0" fontId="4" fillId="2" borderId="3" xfId="0" applyNumberFormat="1" applyFont="1" applyFill="1" applyBorder="1" applyAlignment="1">
      <x:alignment horizontal="center" vertical="top"/>
    </x:xf>
    <x:xf numFmtId="200" fontId="1" fillId="0" borderId="0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/>
    </x:xf>
    <x:xf numFmtId="200" fontId="1" fillId="0" borderId="4" xfId="0" applyNumberFormat="1" applyFont="1" applyFill="1" applyBorder="1" applyAlignment="1">
      <x:alignment vertical="top"/>
    </x:xf>
    <x:xf numFmtId="0" fontId="5" fillId="3" borderId="5" xfId="0" applyNumberFormat="1" applyFont="1" applyFill="1" applyBorder="1" applyAlignment="1">
      <x:alignment vertical="top"/>
    </x:xf>
    <x:xf numFmtId="0" fontId="5" fillId="3" borderId="6" xfId="0" applyNumberFormat="1" applyFont="1" applyFill="1" applyBorder="1" applyAlignment="1">
      <x:alignment vertical="top"/>
    </x:xf>
    <x:xf numFmtId="0" fontId="5" fillId="3" borderId="7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0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 wrapText="1"/>
    </x:xf>
    <x:xf numFmtId="201" fontId="10" fillId="0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horizontal="center" vertical="top"/>
    </x:xf>
    <x:xf numFmtId="201" fontId="10" fillId="0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3">
    <x:dxf>
      <x:font>
        <x:color rgb="FF5F4B32"/>
      </x:font>
      <x:fill>
        <x:patternFill patternType="solid">
          <x:bgColor rgb="FFF2E9D8"/>
        </x:patternFill>
      </x:fill>
    </x:dxf>
    <x:dxf>
      <x:font>
        <x:color rgb="FF36576F"/>
      </x:font>
      <x:fill>
        <x:patternFill patternType="solid">
          <x:bgColor rgb="FFE2ECF3"/>
        </x:patternFill>
      </x:fill>
    </x:dxf>
    <x:dxf>
      <x:font>
        <x:color rgb="FF59466E"/>
      </x:font>
      <x:fill>
        <x:patternFill patternType="solid">
          <x:bgColor rgb="FFEBE5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145ed4b2264a00" /><Relationship Type="http://schemas.openxmlformats.org/officeDocument/2006/relationships/theme" Target="/xl/theme/theme1.xml" Id="Rd6fd242118d746d0" /><Relationship Type="http://schemas.openxmlformats.org/officeDocument/2006/relationships/sharedStrings" Target="/xl/sharedStrings.xml" Id="R1108709e88394afb" /><Relationship Type="http://schemas.openxmlformats.org/officeDocument/2006/relationships/worksheet" Target="/xl/worksheets/sheet1.xml" Id="R3eb5eb83f01c473c" /><Relationship Type="http://schemas.openxmlformats.org/officeDocument/2006/relationships/worksheet" Target="/xl/worksheets/sheet2.xml" Id="Rbad56c46973f4c9b" /></Relationships>
</file>

<file path=xl/tables/table1.xml><?xml version="1.0" encoding="utf-8"?>
<x:table xmlns:x="http://schemas.openxmlformats.org/spreadsheetml/2006/main" id="1" name="DefinitionRevisionsTable" displayName="DefinitionRevisionsTable" ref="A4:L87" headerRowCount="1" totalsRowCount="0" totalsRowShown="0">
  <x:autoFilter ref="A4:L87"/>
  <x:tableColumns count="12">
    <x:tableColumn id="1" name="Revision #"/>
    <x:tableColumn id="2" name="HSK level"/>
    <x:tableColumn id="3" name="Simplified"/>
    <x:tableColumn id="4" name="Pinyin"/>
    <x:tableColumn id="5" name="Part of speech"/>
    <x:tableColumn id="6" name="Original displayed definition"/>
    <x:tableColumn id="7" name="Revised displayed definition"/>
    <x:tableColumn id="8" name="Original dictionary senses"/>
    <x:tableColumn id="9" name="Revised definitions"/>
    <x:tableColumn id="10" name="Stable card ID"/>
    <x:tableColumn id="11" name="Source index"/>
    <x:tableColumn id="12" name="Review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9848002c454d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5" hidden="0" customWidth="1"/>
    <x:col min="4" max="4" width="15" hidden="0" customWidth="1"/>
  </x:cols>
  <x:sheetData>
    <x:row r="1" ht="26" customHeight="1">
      <x:c r="A1" s="28" t="str">
        <x:v>Definition revisions</x:v>
      </x:c>
      <x:c r="B1" s="29"/>
      <x:c r="C1" s="29"/>
      <x:c r="D1" s="29"/>
    </x:row>
    <x:row r="2">
      <x:c r="A2" s="42"/>
      <x:c r="B2" s="42"/>
      <x:c r="C2" s="42"/>
      <x:c r="D2" s="42"/>
    </x:row>
    <x:row r="3">
      <x:c r="A3" s="31" t="str">
        <x:v>Initial editorial pass · HSK 3.0 levels 1–4 · reviewed 2026-10-01</x:v>
      </x:c>
      <x:c r="B3" s="31"/>
      <x:c r="C3" s="31"/>
      <x:c r="D3" s="31"/>
    </x:row>
    <x:row r="4">
      <x:c r="A4" s="43"/>
      <x:c r="B4" s="43"/>
      <x:c r="C4" s="43"/>
      <x:c r="D4" s="43"/>
    </x:row>
    <x:row r="5">
      <x:c r="A5" s="33" t="str">
        <x:v>Scope</x:v>
      </x:c>
      <x:c r="B5" s="34" t="str">
        <x:v>Revisions</x:v>
      </x:c>
      <x:c r="C5" s="43"/>
      <x:c r="D5" s="43"/>
    </x:row>
    <x:row r="6">
      <x:c r="A6" s="29" t="str">
        <x:v>Total</x:v>
      </x:c>
      <x:c r="B6" s="35" t="n">
        <x:f>COUNTA(Revisions!$A$5:$A$87)</x:f>
        <x:v>83</x:v>
      </x:c>
      <x:c r="C6" s="43"/>
      <x:c r="D6" s="43"/>
    </x:row>
    <x:row r="7">
      <x:c r="A7" s="29" t="str">
        <x:v>HSK 1</x:v>
      </x:c>
      <x:c r="B7" s="35" t="n">
        <x:f>COUNTIF(Revisions!$B$5:$B$87,1)</x:f>
        <x:v>1</x:v>
      </x:c>
      <x:c r="C7" s="43"/>
      <x:c r="D7" s="43"/>
    </x:row>
    <x:row r="8">
      <x:c r="A8" s="29" t="str">
        <x:v>HSK 2</x:v>
      </x:c>
      <x:c r="B8" s="35" t="n">
        <x:f>COUNTIF(Revisions!$B$5:$B$87,2)</x:f>
        <x:v>0</x:v>
      </x:c>
      <x:c r="C8" s="43"/>
      <x:c r="D8" s="43"/>
    </x:row>
    <x:row r="9">
      <x:c r="A9" s="29" t="str">
        <x:v>HSK 3</x:v>
      </x:c>
      <x:c r="B9" s="35" t="n">
        <x:f>COUNTIF(Revisions!$B$5:$B$87,3)</x:f>
        <x:v>34</x:v>
      </x:c>
      <x:c r="C9" s="43"/>
      <x:c r="D9" s="43"/>
    </x:row>
    <x:row r="10">
      <x:c r="A10" s="36" t="str">
        <x:v>HSK 4</x:v>
      </x:c>
      <x:c r="B10" s="37" t="n">
        <x:f>COUNTIF(Revisions!$B$5:$B$87,4)</x:f>
        <x:v>48</x:v>
      </x:c>
      <x:c r="C10" s="43"/>
      <x:c r="D10" s="43"/>
    </x:row>
    <x:row r="11">
      <x:c r="A11" s="43"/>
      <x:c r="B11" s="43"/>
      <x:c r="C11" s="43"/>
      <x:c r="D11" s="43"/>
    </x:row>
    <x:row r="12">
      <x:c r="A12" s="38" t="str">
        <x:v>Editorial notes</x:v>
      </x:c>
      <x:c r="B12" s="39"/>
      <x:c r="C12" s="39"/>
      <x:c r="D12" s="40"/>
    </x:row>
    <x:row r="13" ht="35" customHeight="1">
      <x:c r="A13" s="24" t="str">
        <x:v>Method</x:v>
      </x:c>
      <x:c r="B13" s="25" t="str">
        <x:v>Reviewed learner-facing English senses are stored as explicit overrides keyed by stable card ID.</x:v>
      </x:c>
      <x:c r="C13" s="25"/>
      <x:c r="D13" s="25"/>
    </x:row>
    <x:row r="14" ht="35" customHeight="1">
      <x:c r="A14" s="24" t="str">
        <x:v>Original definition</x:v>
      </x:c>
      <x:c r="B14" s="25" t="str">
        <x:v>The first CC-CEDICT sense shown before the override was applied; all source senses remain listed in the detail sheet.</x:v>
      </x:c>
      <x:c r="C14" s="25"/>
      <x:c r="D14" s="25"/>
    </x:row>
    <x:row r="15" ht="35" customHeight="1">
      <x:c r="A15" s="24" t="str">
        <x:v>Pinyin</x:v>
      </x:c>
      <x:c r="B15" s="25" t="str">
        <x:v>Official syllabus pinyin remains unchanged and authoritative.</x:v>
      </x:c>
      <x:c r="C15" s="25"/>
      <x:c r="D15" s="25"/>
    </x:row>
    <x:row r="16">
      <x:c r="A16" s="43"/>
      <x:c r="B16" s="43"/>
      <x:c r="C16" s="43"/>
      <x:c r="D16" s="43"/>
    </x:row>
    <x:row r="17">
      <x:c r="A17" s="43"/>
      <x:c r="B17" s="43"/>
      <x:c r="C17" s="43"/>
      <x:c r="D17" s="43"/>
    </x:row>
    <x:row r="18">
      <x:c r="A18" s="38" t="str">
        <x:v>Sources</x:v>
      </x:c>
      <x:c r="B18" s="39"/>
      <x:c r="C18" s="39"/>
      <x:c r="D18" s="40"/>
    </x:row>
    <x:row r="19" ht="32" customHeight="1">
      <x:c r="A19" s="24" t="str">
        <x:v>HSK extraction snapshot</x:v>
      </x:c>
      <x:c r="B19" s="41" t="str">
        <x:v>https://github.com/Punpuf/hsk-syllabus-vocabulary-parser/tree/2adf7c9885a17077966922b89de7ce655d7d82a0</x:v>
      </x:c>
      <x:c r="C19" s="43"/>
      <x:c r="D19" s="43"/>
    </x:row>
    <x:row r="20" ht="32" customHeight="1">
      <x:c r="A20" s="24" t="str">
        <x:v>Dictionary source</x:v>
      </x:c>
      <x:c r="B20" s="41" t="str">
        <x:v>https://cc-cedict.org/</x:v>
      </x:c>
      <x:c r="C20" s="43"/>
      <x:c r="D20" s="43"/>
    </x:row>
    <x:row r="21" ht="32" customHeight="1">
      <x:c r="A21" s="24" t="str">
        <x:v>Editorial record</x:v>
      </x:c>
      <x:c r="B21" s="25" t="str">
        <x:v>editorial-overrides.json (83 reviewed card IDs)</x:v>
      </x:c>
      <x:c r="C21" s="43"/>
      <x:c r="D21" s="4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3" hidden="0" customWidth="1"/>
    <x:col min="4" max="4" width="15" hidden="0" customWidth="1"/>
    <x:col min="5" max="5" width="18" hidden="0" customWidth="1"/>
    <x:col min="6" max="6" width="30" hidden="0" customWidth="1"/>
    <x:col min="7" max="7" width="30" hidden="0" customWidth="1"/>
    <x:col min="8" max="8" width="44" hidden="0" customWidth="1"/>
    <x:col min="9" max="9" width="38" hidden="0" customWidth="1"/>
    <x:col min="10" max="10" width="34" hidden="0" customWidth="1"/>
    <x:col min="11" max="11" width="12" hidden="0" customWidth="1"/>
    <x:col min="12" max="12" width="13" hidden="0" customWidth="1"/>
  </x:cols>
  <x:sheetData>
    <x:row r="1" ht="25" customHeight="1">
      <x:c r="A1" s="44" t="str">
        <x:v>Reviewed definition changes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4" t="str">
        <x:v>Filter by HSK level, character, pinyin, or part of speech. Original text is retained for comparison.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34" customHeight="1">
      <x:c r="A4" s="49" t="str">
        <x:v>Revision #</x:v>
      </x:c>
      <x:c r="B4" s="49" t="str">
        <x:v>HSK level</x:v>
      </x:c>
      <x:c r="C4" s="49" t="str">
        <x:v>Simplified</x:v>
      </x:c>
      <x:c r="D4" s="49" t="str">
        <x:v>Pinyin</x:v>
      </x:c>
      <x:c r="E4" s="49" t="str">
        <x:v>Part of speech</x:v>
      </x:c>
      <x:c r="F4" s="49" t="str">
        <x:v>Original displayed definition</x:v>
      </x:c>
      <x:c r="G4" s="49" t="str">
        <x:v>Revised displayed definition</x:v>
      </x:c>
      <x:c r="H4" s="49" t="str">
        <x:v>Original dictionary senses</x:v>
      </x:c>
      <x:c r="I4" s="49" t="str">
        <x:v>Revised definitions</x:v>
      </x:c>
      <x:c r="J4" s="49" t="str">
        <x:v>Stable card ID</x:v>
      </x:c>
      <x:c r="K4" s="49" t="str">
        <x:v>Source index</x:v>
      </x:c>
      <x:c r="L4" s="49" t="str">
        <x:v>Review date</x:v>
      </x:c>
    </x:row>
    <x:row r="5" ht="56" customHeight="1">
      <x:c r="A5" s="54" t="n">
        <x:v>1</x:v>
      </x:c>
      <x:c r="B5" s="54" t="n">
        <x:v>1</x:v>
      </x:c>
      <x:c r="C5" s="51" t="str">
        <x:v>大学</x:v>
      </x:c>
      <x:c r="D5" s="50" t="str">
        <x:v>dàxué</x:v>
      </x:c>
      <x:c r="E5" s="50" t="str">
        <x:v>noun</x:v>
      </x:c>
      <x:c r="F5" s="52" t="str">
        <x:v>the Great Learning, one of the Four Books 四书[Si4 shu1] in Confucianism</x:v>
      </x:c>
      <x:c r="G5" s="52" t="str">
        <x:v>university; college</x:v>
      </x:c>
      <x:c r="H5" s="52" t="str">
        <x:v>the Great Learning, one of the Four Books 四书[Si4 shu1] in Confucianism / university / college / CL:所[suo3]</x:v>
      </x:c>
      <x:c r="I5" s="52" t="str">
        <x:v>university; college</x:v>
      </x:c>
      <x:c r="J5" s="52" t="str">
        <x:v>hsk3-2025-11-0027-l1-da4-xue2</x:v>
      </x:c>
      <x:c r="K5" s="54" t="n">
        <x:v>27</x:v>
      </x:c>
      <x:c r="L5" s="55" t="n">
        <x:v>46296.5</x:v>
      </x:c>
    </x:row>
    <x:row r="6" ht="96" customHeight="1">
      <x:c r="A6" s="54" t="n">
        <x:v>2</x:v>
      </x:c>
      <x:c r="B6" s="54" t="n">
        <x:v>3</x:v>
      </x:c>
      <x:c r="C6" s="51" t="str">
        <x:v>点</x:v>
      </x:c>
      <x:c r="D6" s="50" t="str">
        <x:v>diǎn</x:v>
      </x:c>
      <x:c r="E6" s="50" t="str">
        <x:v>noun</x:v>
      </x:c>
      <x:c r="F6" s="52" t="str">
        <x:v>to touch briefly; to tap</x:v>
      </x:c>
      <x:c r="G6" s="52" t="str">
        <x:v>point; dot; o'clock</x:v>
      </x:c>
      <x:c r="H6" s="52" t="str">
        <x:v>to touch briefly; to tap / to mark with a dot; to check off (on a list) / to order (food etc); to select / to mention; to bring up (a topic or person) / to hint at; to imply / to administer (eye medicine etc) in drops / to light (a fire, a lamp etc); to ignite / to nod (one's head) in agreement; to beckon by moving (one's hand) up and down / point; dot; spot; speck / dot stroke in Chinese characters / (math.) decimal point / point in time or space / (after a number) o'clock / a small amount; a bit; (after a verb or adjective) a bit more / classifier for small amounts</x:v>
      </x:c>
      <x:c r="I6" s="52" t="str">
        <x:v>point; dot; o'clock</x:v>
      </x:c>
      <x:c r="J6" s="52" t="str">
        <x:v>hsk3-2025-11-0033-l3-dian3</x:v>
      </x:c>
      <x:c r="K6" s="54" t="n">
        <x:v>33</x:v>
      </x:c>
      <x:c r="L6" s="55" t="n">
        <x:v>46296.5</x:v>
      </x:c>
    </x:row>
    <x:row r="7" ht="96" customHeight="1">
      <x:c r="A7" s="54" t="n">
        <x:v>3</x:v>
      </x:c>
      <x:c r="B7" s="54" t="n">
        <x:v>3</x:v>
      </x:c>
      <x:c r="C7" s="51" t="str">
        <x:v>分</x:v>
      </x:c>
      <x:c r="D7" s="50" t="str">
        <x:v>fēn</x:v>
      </x:c>
      <x:c r="E7" s="50" t="str">
        <x:v>verb, noun</x:v>
      </x:c>
      <x:c r="F7" s="52" t="str">
        <x:v>to divide; to separate</x:v>
      </x:c>
      <x:c r="G7" s="52" t="str">
        <x:v>to divide; to separate</x:v>
      </x:c>
      <x:c r="H7" s="52" t="str">
        <x:v>to divide; to separate / to distribute; to allocate / to distinguish (good and bad) / (bound form) branch of (an organization); sub- (as in 分局[fen1 ju2]) / fraction / one tenth (of certain units) / unit of length equivalent to 0.33 cm / minute (unit of time) / minute (angular measurement unit) / a point (in sports or games) / 0.01 yuan (unit of money)</x:v>
      </x:c>
      <x:c r="I7" s="52" t="str">
        <x:v>to divide; to separate / minute; point</x:v>
      </x:c>
      <x:c r="J7" s="52" t="str">
        <x:v>hsk3-2025-11-0055-l3-fen1</x:v>
      </x:c>
      <x:c r="K7" s="54" t="n">
        <x:v>55</x:v>
      </x:c>
      <x:c r="L7" s="55" t="n">
        <x:v>46296.5</x:v>
      </x:c>
    </x:row>
    <x:row r="8" ht="92" customHeight="1">
      <x:c r="A8" s="54" t="n">
        <x:v>4</x:v>
      </x:c>
      <x:c r="B8" s="54" t="n">
        <x:v>3</x:v>
      </x:c>
      <x:c r="C8" s="51" t="str">
        <x:v>回</x:v>
      </x:c>
      <x:c r="D8" s="50" t="str">
        <x:v>huí</x:v>
      </x:c>
      <x:c r="E8" s="50" t="str">
        <x:v>measure word</x:v>
      </x:c>
      <x:c r="F8" s="52" t="str">
        <x:v>to circle</x:v>
      </x:c>
      <x:c r="G8" s="52" t="str">
        <x:v>time; occurrence (classifier for events)</x:v>
      </x:c>
      <x:c r="H8" s="52" t="str">
        <x:v>to circle / to go back / to turn around / to answer / to return / to revolve / Hui ethnic group (Chinese Muslims) / time / classifier for acts of a play / section or chapter (of a classic book) / to curve / to return / to revolve / variant of 回[hui2]</x:v>
      </x:c>
      <x:c r="I8" s="52" t="str">
        <x:v>time; occurrence (classifier for events)</x:v>
      </x:c>
      <x:c r="J8" s="52" t="str">
        <x:v>hsk3-2025-11-0081-l3-hui2</x:v>
      </x:c>
      <x:c r="K8" s="54" t="n">
        <x:v>81</x:v>
      </x:c>
      <x:c r="L8" s="55" t="n">
        <x:v>46296.5</x:v>
      </x:c>
    </x:row>
    <x:row r="9" ht="96" customHeight="1">
      <x:c r="A9" s="54" t="n">
        <x:v>5</x:v>
      </x:c>
      <x:c r="B9" s="54" t="n">
        <x:v>3</x:v>
      </x:c>
      <x:c r="C9" s="51" t="str">
        <x:v>家</x:v>
      </x:c>
      <x:c r="D9" s="50" t="str">
        <x:v>jiā</x:v>
      </x:c>
      <x:c r="E9" s="50" t="str">
        <x:v>suffix</x:v>
      </x:c>
      <x:c r="F9" s="52" t="str">
        <x:v>home</x:v>
      </x:c>
      <x:c r="G9" s="52" t="str">
        <x:v>specialist; suffix corresponding to -ist or -er</x:v>
      </x:c>
      <x:c r="H9" s="52" t="str">
        <x:v>home / family / (polite) my (sister, uncle etc) / classifier for families or businesses / refers to the philosophical schools of pre-Han China / noun suffix for a specialist in some activity, such as a musician or revolutionary, corresponding to English -ist, -er, -ary or -ian / CL:个[ge4] / used in 家伙[jia1 huo5] and 家俱[jia1 ju4]</x:v>
      </x:c>
      <x:c r="I9" s="52" t="str">
        <x:v>specialist; suffix corresponding to -ist or -er</x:v>
      </x:c>
      <x:c r="J9" s="52" t="str">
        <x:v>hsk3-2025-11-0086-l3-jia1</x:v>
      </x:c>
      <x:c r="K9" s="54" t="n">
        <x:v>86</x:v>
      </x:c>
      <x:c r="L9" s="55" t="n">
        <x:v>46296.5</x:v>
      </x:c>
    </x:row>
    <x:row r="10" ht="68" customHeight="1">
      <x:c r="A10" s="54" t="n">
        <x:v>6</x:v>
      </x:c>
      <x:c r="B10" s="54" t="n">
        <x:v>3</x:v>
      </x:c>
      <x:c r="C10" s="51" t="str">
        <x:v>头</x:v>
      </x:c>
      <x:c r="D10" s="50" t="str">
        <x:v>tóu</x:v>
      </x:c>
      <x:c r="E10" s="50" t="str">
        <x:v>measure word</x:v>
      </x:c>
      <x:c r="F10" s="52" t="str">
        <x:v>head</x:v>
      </x:c>
      <x:c r="G10" s="52" t="str">
        <x:v>classifier for livestock</x:v>
      </x:c>
      <x:c r="H10" s="52" t="str">
        <x:v>head / hair style / the top / end / beginning or end / a stub / remnant / chief / boss / side / aspect / first / leading / classifier for pigs or livestock / CL:个[ge4]</x:v>
      </x:c>
      <x:c r="I10" s="52" t="str">
        <x:v>classifier for livestock</x:v>
      </x:c>
      <x:c r="J10" s="52" t="str">
        <x:v>hsk3-2025-11-0445-l3-tou2</x:v>
      </x:c>
      <x:c r="K10" s="54" t="n">
        <x:v>445</x:v>
      </x:c>
      <x:c r="L10" s="55" t="n">
        <x:v>46296.5</x:v>
      </x:c>
    </x:row>
    <x:row r="11" ht="80" customHeight="1">
      <x:c r="A11" s="54" t="n">
        <x:v>7</x:v>
      </x:c>
      <x:c r="B11" s="54" t="n">
        <x:v>3</x:v>
      </x:c>
      <x:c r="C11" s="51" t="str">
        <x:v>把</x:v>
      </x:c>
      <x:c r="D11" s="50" t="str">
        <x:v>bǎ</x:v>
      </x:c>
      <x:c r="E11" s="50" t="str">
        <x:v>measure word, preposition</x:v>
      </x:c>
      <x:c r="F11" s="52" t="str">
        <x:v>to hold; to grasp</x:v>
      </x:c>
      <x:c r="G11" s="52" t="str">
        <x:v>classifier for handled objects</x:v>
      </x:c>
      <x:c r="H11" s="52" t="str">
        <x:v>to hold; to grasp / to hold a baby in position to help it urinate or defecate / handlebar / classifier: handful, bundle, bunch / classifier for things with handles / (used to put the object before the verb: 把[ba3] + {noun} + {verb})</x:v>
      </x:c>
      <x:c r="I11" s="52" t="str">
        <x:v>classifier for handled objects / marker placing an object before its verb</x:v>
      </x:c>
      <x:c r="J11" s="52" t="str">
        <x:v>hsk3-2025-11-0506-l3-ba3</x:v>
      </x:c>
      <x:c r="K11" s="54" t="n">
        <x:v>506</x:v>
      </x:c>
      <x:c r="L11" s="55" t="n">
        <x:v>46296.5</x:v>
      </x:c>
    </x:row>
    <x:row r="12" ht="96" customHeight="1">
      <x:c r="A12" s="54" t="n">
        <x:v>8</x:v>
      </x:c>
      <x:c r="B12" s="54" t="n">
        <x:v>3</x:v>
      </x:c>
      <x:c r="C12" s="51" t="str">
        <x:v>被</x:v>
      </x:c>
      <x:c r="D12" s="50" t="str">
        <x:v>bèi</x:v>
      </x:c>
      <x:c r="E12" s="50" t="str">
        <x:v>preposition</x:v>
      </x:c>
      <x:c r="F12" s="52" t="str">
        <x:v>quilt</x:v>
      </x:c>
      <x:c r="G12" s="52" t="str">
        <x:v>by; passive-voice marker</x:v>
      </x:c>
      <x:c r="H12" s="52" t="str">
        <x:v>quilt / to cover (with) / (literary) to suffer (a misfortune) / used to indicate passive voice (placed before the doer of the action like "by" in English passive-voice sentences, or, if the doer is not mentioned, before the verb) / (since c. 2009) (sarcastic or jocular) used to indicate that the following word should be regarded as being in air quotes (as in 被旅游[bei4 lu : 3 you2] to "go on a trip")</x:v>
      </x:c>
      <x:c r="I12" s="52" t="str">
        <x:v>by; passive-voice marker</x:v>
      </x:c>
      <x:c r="J12" s="52" t="str">
        <x:v>hsk3-2025-11-0519-l3-bei4</x:v>
      </x:c>
      <x:c r="K12" s="54" t="n">
        <x:v>519</x:v>
      </x:c>
      <x:c r="L12" s="55" t="n">
        <x:v>46296.5</x:v>
      </x:c>
    </x:row>
    <x:row r="13" ht="44" customHeight="1">
      <x:c r="A13" s="54" t="n">
        <x:v>9</x:v>
      </x:c>
      <x:c r="B13" s="54" t="n">
        <x:v>3</x:v>
      </x:c>
      <x:c r="C13" s="51" t="str">
        <x:v>比较</x:v>
      </x:c>
      <x:c r="D13" s="50" t="str">
        <x:v>bǐjiào</x:v>
      </x:c>
      <x:c r="E13" s="50" t="str">
        <x:v>verb, preposition, adverb</x:v>
      </x:c>
      <x:c r="F13" s="52" t="str">
        <x:v>to compare</x:v>
      </x:c>
      <x:c r="G13" s="52" t="str">
        <x:v>to compare</x:v>
      </x:c>
      <x:c r="H13" s="52" t="str">
        <x:v>to compare / to contrast / comparatively / relatively / quite / comparison</x:v>
      </x:c>
      <x:c r="I13" s="52" t="str">
        <x:v>to compare / comparatively; relatively</x:v>
      </x:c>
      <x:c r="J13" s="52" t="str">
        <x:v>hsk3-2025-11-0521-l3-bi3-jiao4</x:v>
      </x:c>
      <x:c r="K13" s="54" t="n">
        <x:v>521</x:v>
      </x:c>
      <x:c r="L13" s="55" t="n">
        <x:v>46296.5</x:v>
      </x:c>
    </x:row>
    <x:row r="14" ht="36" customHeight="1">
      <x:c r="A14" s="54" t="n">
        <x:v>10</x:v>
      </x:c>
      <x:c r="B14" s="54" t="n">
        <x:v>3</x:v>
      </x:c>
      <x:c r="C14" s="51" t="str">
        <x:v>必须</x:v>
      </x:c>
      <x:c r="D14" s="50" t="str">
        <x:v>bìxū</x:v>
      </x:c>
      <x:c r="E14" s="50" t="str">
        <x:v>adverb</x:v>
      </x:c>
      <x:c r="F14" s="52" t="str">
        <x:v>to have to</x:v>
      </x:c>
      <x:c r="G14" s="52" t="str">
        <x:v>must; have to</x:v>
      </x:c>
      <x:c r="H14" s="52" t="str">
        <x:v>to have to / must / compulsory / necessarily</x:v>
      </x:c>
      <x:c r="I14" s="52" t="str">
        <x:v>must; have to</x:v>
      </x:c>
      <x:c r="J14" s="52" t="str">
        <x:v>hsk3-2025-11-0525-l3-bi4-xu1</x:v>
      </x:c>
      <x:c r="K14" s="54" t="n">
        <x:v>525</x:v>
      </x:c>
      <x:c r="L14" s="55" t="n">
        <x:v>46296.5</x:v>
      </x:c>
    </x:row>
    <x:row r="15" ht="44" customHeight="1">
      <x:c r="A15" s="54" t="n">
        <x:v>11</x:v>
      </x:c>
      <x:c r="B15" s="54" t="n">
        <x:v>3</x:v>
      </x:c>
      <x:c r="C15" s="51" t="str">
        <x:v>遍</x:v>
      </x:c>
      <x:c r="D15" s="50" t="str">
        <x:v>biàn</x:v>
      </x:c>
      <x:c r="E15" s="50" t="str">
        <x:v>measure word</x:v>
      </x:c>
      <x:c r="F15" s="52" t="str">
        <x:v>everywhere</x:v>
      </x:c>
      <x:c r="G15" s="52" t="str">
        <x:v>time; classifier for a complete action</x:v>
      </x:c>
      <x:c r="H15" s="52" t="str">
        <x:v>everywhere / all over / classifier for actions: one time / variant of 遍[bian4]</x:v>
      </x:c>
      <x:c r="I15" s="52" t="str">
        <x:v>time; classifier for a complete action</x:v>
      </x:c>
      <x:c r="J15" s="52" t="str">
        <x:v>hsk3-2025-11-0527-l3-bian4</x:v>
      </x:c>
      <x:c r="K15" s="54" t="n">
        <x:v>527</x:v>
      </x:c>
      <x:c r="L15" s="55" t="n">
        <x:v>46296.5</x:v>
      </x:c>
    </x:row>
    <x:row r="16" ht="80" customHeight="1">
      <x:c r="A16" s="54" t="n">
        <x:v>12</x:v>
      </x:c>
      <x:c r="B16" s="54" t="n">
        <x:v>3</x:v>
      </x:c>
      <x:c r="C16" s="51" t="str">
        <x:v>才</x:v>
      </x:c>
      <x:c r="D16" s="50" t="str">
        <x:v>cái</x:v>
      </x:c>
      <x:c r="E16" s="50" t="str">
        <x:v>adverb</x:v>
      </x:c>
      <x:c r="F16" s="52" t="str">
        <x:v>(variant of 才[cai2]) just now</x:v>
      </x:c>
      <x:c r="G16" s="52" t="str">
        <x:v>only; not until</x:v>
      </x:c>
      <x:c r="H16" s="52" t="str">
        <x:v>(variant of 才[cai2]) just now / (variant of 才[cai2]) (before an expression of quantity) only / ability; talent / sb of a certain type / a capable individual / then and only then / just now / (before an expression of quantity) only</x:v>
      </x:c>
      <x:c r="I16" s="52" t="str">
        <x:v>only; not until / then and only then</x:v>
      </x:c>
      <x:c r="J16" s="52" t="str">
        <x:v>hsk3-2025-11-0544-l3-cai2</x:v>
      </x:c>
      <x:c r="K16" s="54" t="n">
        <x:v>544</x:v>
      </x:c>
      <x:c r="L16" s="55" t="n">
        <x:v>46296.5</x:v>
      </x:c>
    </x:row>
    <x:row r="17" ht="56" customHeight="1">
      <x:c r="A17" s="54" t="n">
        <x:v>13</x:v>
      </x:c>
      <x:c r="B17" s="54" t="n">
        <x:v>3</x:v>
      </x:c>
      <x:c r="C17" s="51" t="str">
        <x:v>层</x:v>
      </x:c>
      <x:c r="D17" s="50" t="str">
        <x:v>céng</x:v>
      </x:c>
      <x:c r="E17" s="50" t="str">
        <x:v>measure word</x:v>
      </x:c>
      <x:c r="F17" s="52" t="str">
        <x:v>to pile on top of one another</x:v>
      </x:c>
      <x:c r="G17" s="52" t="str">
        <x:v>layer; floor</x:v>
      </x:c>
      <x:c r="H17" s="52" t="str">
        <x:v>to pile on top of one another / layer; stratum / floor (of a building); story / (math.) sheaf / classifier for layers</x:v>
      </x:c>
      <x:c r="I17" s="52" t="str">
        <x:v>layer; floor / classifier for layers</x:v>
      </x:c>
      <x:c r="J17" s="52" t="str">
        <x:v>hsk3-2025-11-0549-l3-ceng2</x:v>
      </x:c>
      <x:c r="K17" s="54" t="n">
        <x:v>549</x:v>
      </x:c>
      <x:c r="L17" s="55" t="n">
        <x:v>46296.5</x:v>
      </x:c>
    </x:row>
    <x:row r="18" ht="44" customHeight="1">
      <x:c r="A18" s="54" t="n">
        <x:v>14</x:v>
      </x:c>
      <x:c r="B18" s="54" t="n">
        <x:v>3</x:v>
      </x:c>
      <x:c r="C18" s="51" t="str">
        <x:v>常</x:v>
      </x:c>
      <x:c r="D18" s="50" t="str">
        <x:v>cháng</x:v>
      </x:c>
      <x:c r="E18" s="50" t="str">
        <x:v>adverb</x:v>
      </x:c>
      <x:c r="F18" s="52" t="str">
        <x:v>always</x:v>
      </x:c>
      <x:c r="G18" s="52" t="str">
        <x:v>often; frequently</x:v>
      </x:c>
      <x:c r="H18" s="52" t="str">
        <x:v>always / ever / often / frequently / common / general / constant / surname Chang</x:v>
      </x:c>
      <x:c r="I18" s="52" t="str">
        <x:v>often; frequently</x:v>
      </x:c>
      <x:c r="J18" s="52" t="str">
        <x:v>hsk3-2025-11-0554-l3-chang2</x:v>
      </x:c>
      <x:c r="K18" s="54" t="n">
        <x:v>554</x:v>
      </x:c>
      <x:c r="L18" s="55" t="n">
        <x:v>46296.5</x:v>
      </x:c>
    </x:row>
    <x:row r="19" ht="56" customHeight="1">
      <x:c r="A19" s="54" t="n">
        <x:v>15</x:v>
      </x:c>
      <x:c r="B19" s="54" t="n">
        <x:v>3</x:v>
      </x:c>
      <x:c r="C19" s="51" t="str">
        <x:v>段</x:v>
      </x:c>
      <x:c r="D19" s="50" t="str">
        <x:v>duàn</x:v>
      </x:c>
      <x:c r="E19" s="50" t="str">
        <x:v>measure word</x:v>
      </x:c>
      <x:c r="F19" s="52" t="str">
        <x:v>paragraph</x:v>
      </x:c>
      <x:c r="G19" s="52" t="str">
        <x:v>section; period</x:v>
      </x:c>
      <x:c r="H19" s="52" t="str">
        <x:v>paragraph / section / segment / stage (of a process) / classifier for stories, periods of time, lengths of thread etc / surname Duan</x:v>
      </x:c>
      <x:c r="I19" s="52" t="str">
        <x:v>section; period / classifier for segments</x:v>
      </x:c>
      <x:c r="J19" s="52" t="str">
        <x:v>hsk3-2025-11-0607-l3-duan4</x:v>
      </x:c>
      <x:c r="K19" s="54" t="n">
        <x:v>607</x:v>
      </x:c>
      <x:c r="L19" s="55" t="n">
        <x:v>46296.5</x:v>
      </x:c>
    </x:row>
    <x:row r="20" ht="56" customHeight="1">
      <x:c r="A20" s="54" t="n">
        <x:v>16</x:v>
      </x:c>
      <x:c r="B20" s="54" t="n">
        <x:v>3</x:v>
      </x:c>
      <x:c r="C20" s="51" t="str">
        <x:v>封</x:v>
      </x:c>
      <x:c r="D20" s="50" t="str">
        <x:v>fēng</x:v>
      </x:c>
      <x:c r="E20" s="50" t="str">
        <x:v>measure word</x:v>
      </x:c>
      <x:c r="F20" s="52" t="str">
        <x:v>surname Feng</x:v>
      </x:c>
      <x:c r="G20" s="52" t="str">
        <x:v>classifier for letters or sealed objects</x:v>
      </x:c>
      <x:c r="H20" s="52" t="str">
        <x:v>surname Feng / to confer / to grant / to bestow a title / to seal / classifier for sealed objects, esp. letters</x:v>
      </x:c>
      <x:c r="I20" s="52" t="str">
        <x:v>classifier for letters or sealed objects</x:v>
      </x:c>
      <x:c r="J20" s="52" t="str">
        <x:v>hsk3-2025-11-0630-l3-feng1</x:v>
      </x:c>
      <x:c r="K20" s="54" t="n">
        <x:v>630</x:v>
      </x:c>
      <x:c r="L20" s="55" t="n">
        <x:v>46296.5</x:v>
      </x:c>
    </x:row>
    <x:row r="21" ht="36" customHeight="1">
      <x:c r="A21" s="54" t="n">
        <x:v>17</x:v>
      </x:c>
      <x:c r="B21" s="54" t="n">
        <x:v>3</x:v>
      </x:c>
      <x:c r="C21" s="51" t="str">
        <x:v>刚</x:v>
      </x:c>
      <x:c r="D21" s="50" t="str">
        <x:v>gāng</x:v>
      </x:c>
      <x:c r="E21" s="50" t="str">
        <x:v>adverb</x:v>
      </x:c>
      <x:c r="F21" s="52" t="str">
        <x:v>hard</x:v>
      </x:c>
      <x:c r="G21" s="52" t="str">
        <x:v>just; barely</x:v>
      </x:c>
      <x:c r="H21" s="52" t="str">
        <x:v>hard / firm / strong / just / barely / exactly</x:v>
      </x:c>
      <x:c r="I21" s="52" t="str">
        <x:v>just; barely</x:v>
      </x:c>
      <x:c r="J21" s="52" t="str">
        <x:v>hsk3-2025-11-0641-l3-gang1</x:v>
      </x:c>
      <x:c r="K21" s="54" t="n">
        <x:v>641</x:v>
      </x:c>
      <x:c r="L21" s="55" t="n">
        <x:v>46296.5</x:v>
      </x:c>
    </x:row>
    <x:row r="22" ht="44" customHeight="1">
      <x:c r="A22" s="54" t="n">
        <x:v>18</x:v>
      </x:c>
      <x:c r="B22" s="54" t="n">
        <x:v>3</x:v>
      </x:c>
      <x:c r="C22" s="51" t="str">
        <x:v>极</x:v>
      </x:c>
      <x:c r="D22" s="50" t="str">
        <x:v>jí</x:v>
      </x:c>
      <x:c r="E22" s="50" t="str">
        <x:v>adverb</x:v>
      </x:c>
      <x:c r="F22" s="52" t="str">
        <x:v>extremely</x:v>
      </x:c>
      <x:c r="G22" s="52" t="str">
        <x:v>extremely</x:v>
      </x:c>
      <x:c r="H22" s="52" t="str">
        <x:v>extremely / pole (geography, physics) / utmost / top</x:v>
      </x:c>
      <x:c r="I22" s="52" t="str">
        <x:v>extremely</x:v>
      </x:c>
      <x:c r="J22" s="52" t="str">
        <x:v>hsk3-2025-11-0690-l3-ji2</x:v>
      </x:c>
      <x:c r="K22" s="54" t="n">
        <x:v>690</x:v>
      </x:c>
      <x:c r="L22" s="55" t="n">
        <x:v>46296.5</x:v>
      </x:c>
    </x:row>
    <x:row r="23" ht="56" customHeight="1">
      <x:c r="A23" s="54" t="n">
        <x:v>19</x:v>
      </x:c>
      <x:c r="B23" s="54" t="n">
        <x:v>3</x:v>
      </x:c>
      <x:c r="C23" s="51" t="str">
        <x:v>角</x:v>
      </x:c>
      <x:c r="D23" s="50" t="str">
        <x:v>jiǎo</x:v>
      </x:c>
      <x:c r="E23" s="50" t="str">
        <x:v>measure word</x:v>
      </x:c>
      <x:c r="F23" s="52" t="str">
        <x:v>angle</x:v>
      </x:c>
      <x:c r="G23" s="52" t="str">
        <x:v>one tenth of a yuan; jiao</x:v>
      </x:c>
      <x:c r="H23" s="52" t="str">
        <x:v>angle / corner / horn / horn-shaped / unit of money equal to 0.1 yuan, or 10 cents (a dime) / CL:个[ge4]</x:v>
      </x:c>
      <x:c r="I23" s="52" t="str">
        <x:v>one tenth of a yuan; jiao</x:v>
      </x:c>
      <x:c r="J23" s="52" t="str">
        <x:v>hsk3-2025-11-0704-l3-jiao3</x:v>
      </x:c>
      <x:c r="K23" s="54" t="n">
        <x:v>704</x:v>
      </x:c>
      <x:c r="L23" s="55" t="n">
        <x:v>46296.5</x:v>
      </x:c>
    </x:row>
    <x:row r="24" ht="96" customHeight="1">
      <x:c r="A24" s="54" t="n">
        <x:v>20</x:v>
      </x:c>
      <x:c r="B24" s="54" t="n">
        <x:v>3</x:v>
      </x:c>
      <x:c r="C24" s="51" t="str">
        <x:v>节</x:v>
      </x:c>
      <x:c r="D24" s="50" t="str">
        <x:v>jié</x:v>
      </x:c>
      <x:c r="E24" s="50" t="str">
        <x:v>measure word, noun</x:v>
      </x:c>
      <x:c r="F24" s="52" t="str">
        <x:v>joint; node</x:v>
      </x:c>
      <x:c r="G24" s="52" t="str">
        <x:v>section; segment</x:v>
      </x:c>
      <x:c r="H24" s="52" t="str">
        <x:v>joint; node / (bound form) section; segment / solar term (one of the 24 divisions of the year in the traditional Chinese calendar) / seasonal festival / (bound form) to economize; to save / (bound form) moral integrity; chastity / classifier for segments: lessons, train wagons, biblical verses etc / knot (nautical miles per hour)</x:v>
      </x:c>
      <x:c r="I24" s="52" t="str">
        <x:v>section; segment / classifier for lessons or sections</x:v>
      </x:c>
      <x:c r="J24" s="52" t="str">
        <x:v>hsk3-2025-11-0708-l3-jie2</x:v>
      </x:c>
      <x:c r="K24" s="54" t="n">
        <x:v>708</x:v>
      </x:c>
      <x:c r="L24" s="55" t="n">
        <x:v>46296.5</x:v>
      </x:c>
    </x:row>
    <x:row r="25" ht="56" customHeight="1">
      <x:c r="A25" s="54" t="n">
        <x:v>21</x:v>
      </x:c>
      <x:c r="B25" s="54" t="n">
        <x:v>3</x:v>
      </x:c>
      <x:c r="C25" s="51" t="str">
        <x:v>可</x:v>
      </x:c>
      <x:c r="D25" s="50" t="str">
        <x:v>kě</x:v>
      </x:c>
      <x:c r="E25" s="50" t="str">
        <x:v>conjunction</x:v>
      </x:c>
      <x:c r="F25" s="52" t="str">
        <x:v>(prefix) can; may; able to; -able</x:v>
      </x:c>
      <x:c r="G25" s="52" t="str">
        <x:v>but; however</x:v>
      </x:c>
      <x:c r="H25" s="52" t="str">
        <x:v>(prefix) can; may; able to; -able / to approve; to permit / to suit / (particle used for emphasis) certainly; very / but; however</x:v>
      </x:c>
      <x:c r="I25" s="52" t="str">
        <x:v>but; however</x:v>
      </x:c>
      <x:c r="J25" s="52" t="str">
        <x:v>hsk3-2025-11-0731-l3-ke3</x:v>
      </x:c>
      <x:c r="K25" s="54" t="n">
        <x:v>731</x:v>
      </x:c>
      <x:c r="L25" s="55" t="n">
        <x:v>46296.5</x:v>
      </x:c>
    </x:row>
    <x:row r="26" ht="56" customHeight="1">
      <x:c r="A26" s="54" t="n">
        <x:v>22</x:v>
      </x:c>
      <x:c r="B26" s="54" t="n">
        <x:v>3</x:v>
      </x:c>
      <x:c r="C26" s="51" t="str">
        <x:v>刻</x:v>
      </x:c>
      <x:c r="D26" s="50" t="str">
        <x:v>kè</x:v>
      </x:c>
      <x:c r="E26" s="50" t="str">
        <x:v>measure word</x:v>
      </x:c>
      <x:c r="F26" s="52" t="str">
        <x:v>quarter (hour)</x:v>
      </x:c>
      <x:c r="G26" s="52" t="str">
        <x:v>quarter of an hour</x:v>
      </x:c>
      <x:c r="H26" s="52" t="str">
        <x:v>quarter (hour) / moment / to carve / to engrave / to cut / oppressive / classifier for short time intervals</x:v>
      </x:c>
      <x:c r="I26" s="52" t="str">
        <x:v>quarter of an hour / short interval</x:v>
      </x:c>
      <x:c r="J26" s="52" t="str">
        <x:v>hsk3-2025-11-0735-l3-ke4</x:v>
      </x:c>
      <x:c r="K26" s="54" t="n">
        <x:v>735</x:v>
      </x:c>
      <x:c r="L26" s="55" t="n">
        <x:v>46296.5</x:v>
      </x:c>
    </x:row>
    <x:row r="27" ht="92" customHeight="1">
      <x:c r="A27" s="54" t="n">
        <x:v>23</x:v>
      </x:c>
      <x:c r="B27" s="54" t="n">
        <x:v>3</x:v>
      </x:c>
      <x:c r="C27" s="51" t="str">
        <x:v>毛</x:v>
      </x:c>
      <x:c r="D27" s="50" t="str">
        <x:v>máo</x:v>
      </x:c>
      <x:c r="E27" s="50" t="str">
        <x:v>measure word</x:v>
      </x:c>
      <x:c r="F27" s="52" t="str">
        <x:v>hair</x:v>
      </x:c>
      <x:c r="G27" s="52" t="str">
        <x:v>one tenth of a yuan; mao</x:v>
      </x:c>
      <x:c r="H27" s="52" t="str">
        <x:v>hair / feather / down / wool / mildew / mold / coarse or semifinished / young / raw / careless / unthinking / nervous / scared / (of currency) to devalue or depreciate / classifier for Chinese fractional monetary unit ( = 角[jiao3] , = one-tenth of a yuan or 10 fen 分[fen1]) / surname Mao</x:v>
      </x:c>
      <x:c r="I27" s="52" t="str">
        <x:v>one tenth of a yuan; mao</x:v>
      </x:c>
      <x:c r="J27" s="52" t="str">
        <x:v>hsk3-2025-11-0768-l3-mao2</x:v>
      </x:c>
      <x:c r="K27" s="54" t="n">
        <x:v>768</x:v>
      </x:c>
      <x:c r="L27" s="55" t="n">
        <x:v>46296.5</x:v>
      </x:c>
    </x:row>
    <x:row r="28" ht="44" customHeight="1">
      <x:c r="A28" s="54" t="n">
        <x:v>24</x:v>
      </x:c>
      <x:c r="B28" s="54" t="n">
        <x:v>3</x:v>
      </x:c>
      <x:c r="C28" s="51" t="str">
        <x:v>米</x:v>
      </x:c>
      <x:c r="D28" s="50" t="str">
        <x:v>mǐ</x:v>
      </x:c>
      <x:c r="E28" s="50" t="str">
        <x:v>measure word</x:v>
      </x:c>
      <x:c r="F28" s="52" t="str">
        <x:v>surname Mi</x:v>
      </x:c>
      <x:c r="G28" s="52" t="str">
        <x:v>meter</x:v>
      </x:c>
      <x:c r="H28" s="52" t="str">
        <x:v>surname Mi / uncooked rice / meter (unit of length) / (slang) Chinese yuan</x:v>
      </x:c>
      <x:c r="I28" s="52" t="str">
        <x:v>meter</x:v>
      </x:c>
      <x:c r="J28" s="52" t="str">
        <x:v>hsk3-2025-11-0769-l3-mi3</x:v>
      </x:c>
      <x:c r="K28" s="54" t="n">
        <x:v>769</x:v>
      </x:c>
      <x:c r="L28" s="55" t="n">
        <x:v>46296.5</x:v>
      </x:c>
    </x:row>
    <x:row r="29" ht="44" customHeight="1">
      <x:c r="A29" s="54" t="n">
        <x:v>25</x:v>
      </x:c>
      <x:c r="B29" s="54" t="n">
        <x:v>3</x:v>
      </x:c>
      <x:c r="C29" s="51" t="str">
        <x:v>声</x:v>
      </x:c>
      <x:c r="D29" s="50" t="str">
        <x:v>shēng</x:v>
      </x:c>
      <x:c r="E29" s="50" t="str">
        <x:v>noun, measure word</x:v>
      </x:c>
      <x:c r="F29" s="52" t="str">
        <x:v>sound</x:v>
      </x:c>
      <x:c r="G29" s="52" t="str">
        <x:v>sound; voice</x:v>
      </x:c>
      <x:c r="H29" s="52" t="str">
        <x:v>sound / voice / tone / noise / reputation / classifier for sounds</x:v>
      </x:c>
      <x:c r="I29" s="52" t="str">
        <x:v>sound; voice / classifier for sounds</x:v>
      </x:c>
      <x:c r="J29" s="52" t="str">
        <x:v>hsk3-2025-11-0828-l3-sheng1</x:v>
      </x:c>
      <x:c r="K29" s="54" t="n">
        <x:v>828</x:v>
      </x:c>
      <x:c r="L29" s="55" t="n">
        <x:v>46296.5</x:v>
      </x:c>
    </x:row>
    <x:row r="30" ht="44" customHeight="1">
      <x:c r="A30" s="54" t="n">
        <x:v>26</x:v>
      </x:c>
      <x:c r="B30" s="54" t="n">
        <x:v>3</x:v>
      </x:c>
      <x:c r="C30" s="51" t="str">
        <x:v>双</x:v>
      </x:c>
      <x:c r="D30" s="50" t="str">
        <x:v>shuāng</x:v>
      </x:c>
      <x:c r="E30" s="50" t="str">
        <x:v>measure word</x:v>
      </x:c>
      <x:c r="F30" s="52" t="str">
        <x:v>surname Shuang</x:v>
      </x:c>
      <x:c r="G30" s="52" t="str">
        <x:v>pair; classifier for pairs</x:v>
      </x:c>
      <x:c r="H30" s="52" t="str">
        <x:v>surname Shuang / two / double / pair / both / even (number) / variant of 双[shuang1]</x:v>
      </x:c>
      <x:c r="I30" s="52" t="str">
        <x:v>pair; classifier for pairs</x:v>
      </x:c>
      <x:c r="J30" s="52" t="str">
        <x:v>hsk3-2025-11-0845-l3-shuang1</x:v>
      </x:c>
      <x:c r="K30" s="54" t="n">
        <x:v>845</x:v>
      </x:c>
      <x:c r="L30" s="55" t="n">
        <x:v>46296.5</x:v>
      </x:c>
    </x:row>
    <x:row r="31" ht="68" customHeight="1">
      <x:c r="A31" s="54" t="n">
        <x:v>27</x:v>
      </x:c>
      <x:c r="B31" s="54" t="n">
        <x:v>3</x:v>
      </x:c>
      <x:c r="C31" s="51" t="str">
        <x:v>挺</x:v>
      </x:c>
      <x:c r="D31" s="50" t="str">
        <x:v>tǐng</x:v>
      </x:c>
      <x:c r="E31" s="50" t="str">
        <x:v>adverb</x:v>
      </x:c>
      <x:c r="F31" s="52" t="str">
        <x:v>straight</x:v>
      </x:c>
      <x:c r="G31" s="52" t="str">
        <x:v>quite; very</x:v>
      </x:c>
      <x:c r="H31" s="52" t="str">
        <x:v>straight / erect / to stick out (a part of the body) / to (physically) straighten up / to support / to withstand / outstanding / (coll.) quite / very / classifier for machine guns</x:v>
      </x:c>
      <x:c r="I31" s="52" t="str">
        <x:v>quite; very</x:v>
      </x:c>
      <x:c r="J31" s="52" t="str">
        <x:v>hsk3-2025-11-0858-l3-ting3</x:v>
      </x:c>
      <x:c r="K31" s="54" t="n">
        <x:v>858</x:v>
      </x:c>
      <x:c r="L31" s="55" t="n">
        <x:v>46296.5</x:v>
      </x:c>
    </x:row>
    <x:row r="32" ht="36" customHeight="1">
      <x:c r="A32" s="54" t="n">
        <x:v>28</x:v>
      </x:c>
      <x:c r="B32" s="54" t="n">
        <x:v>3</x:v>
      </x:c>
      <x:c r="C32" s="51" t="str">
        <x:v>为</x:v>
      </x:c>
      <x:c r="D32" s="50" t="str">
        <x:v>wèi</x:v>
      </x:c>
      <x:c r="E32" s="50" t="str">
        <x:v>preposition</x:v>
      </x:c>
      <x:c r="F32" s="52" t="str">
        <x:v>because of</x:v>
      </x:c>
      <x:c r="G32" s="52" t="str">
        <x:v>for; because of</x:v>
      </x:c>
      <x:c r="H32" s="52" t="str">
        <x:v>because of / for / to / variant of 为[wei4]</x:v>
      </x:c>
      <x:c r="I32" s="52" t="str">
        <x:v>for; because of</x:v>
      </x:c>
      <x:c r="J32" s="52" t="str">
        <x:v>hsk3-2025-11-0875-l3-wei4</x:v>
      </x:c>
      <x:c r="K32" s="54" t="n">
        <x:v>875</x:v>
      </x:c>
      <x:c r="L32" s="55" t="n">
        <x:v>46296.5</x:v>
      </x:c>
    </x:row>
    <x:row r="33" ht="96" customHeight="1">
      <x:c r="A33" s="54" t="n">
        <x:v>29</x:v>
      </x:c>
      <x:c r="B33" s="54" t="n">
        <x:v>3</x:v>
      </x:c>
      <x:c r="C33" s="51" t="str">
        <x:v>向</x:v>
      </x:c>
      <x:c r="D33" s="50" t="str">
        <x:v>xiàng</x:v>
      </x:c>
      <x:c r="E33" s="50" t="str">
        <x:v>verb, preposition</x:v>
      </x:c>
      <x:c r="F33" s="52" t="str">
        <x:v>surname Xiang</x:v>
      </x:c>
      <x:c r="G33" s="52" t="str">
        <x:v>towards; to face</x:v>
      </x:c>
      <x:c r="H33" s="52" t="str">
        <x:v>surname Xiang / to tend toward / to guide / variant of 向[xiang4] / towards / to face / to turn towards / direction / to support / to side with / shortly before / formerly / always / all along / (suffix) suitable for ... / oriented to ... / variant of 向[xiang4] / direction / orientation / to face / to turn toward / to / towards / shortly before / formerly</x:v>
      </x:c>
      <x:c r="I33" s="52" t="str">
        <x:v>towards; to face / direction</x:v>
      </x:c>
      <x:c r="J33" s="52" t="str">
        <x:v>hsk3-2025-11-0894-l3-xiang4</x:v>
      </x:c>
      <x:c r="K33" s="54" t="n">
        <x:v>894</x:v>
      </x:c>
      <x:c r="L33" s="55" t="n">
        <x:v>46296.5</x:v>
      </x:c>
    </x:row>
    <x:row r="34" ht="36" customHeight="1">
      <x:c r="A34" s="54" t="n">
        <x:v>30</x:v>
      </x:c>
      <x:c r="B34" s="54" t="n">
        <x:v>3</x:v>
      </x:c>
      <x:c r="C34" s="51" t="str">
        <x:v>页</x:v>
      </x:c>
      <x:c r="D34" s="50" t="str">
        <x:v>yè</x:v>
      </x:c>
      <x:c r="E34" s="50" t="str">
        <x:v>measure word</x:v>
      </x:c>
      <x:c r="F34" s="52" t="str">
        <x:v>page</x:v>
      </x:c>
      <x:c r="G34" s="52" t="str">
        <x:v>page; classifier for pages</x:v>
      </x:c>
      <x:c r="H34" s="52" t="str">
        <x:v>page / leaf</x:v>
      </x:c>
      <x:c r="I34" s="52" t="str">
        <x:v>page; classifier for pages</x:v>
      </x:c>
      <x:c r="J34" s="52" t="str">
        <x:v>hsk3-2025-11-0921-l3-ye4</x:v>
      </x:c>
      <x:c r="K34" s="54" t="n">
        <x:v>921</x:v>
      </x:c>
      <x:c r="L34" s="55" t="n">
        <x:v>46296.5</x:v>
      </x:c>
    </x:row>
    <x:row r="35" ht="44" customHeight="1">
      <x:c r="A35" s="54" t="n">
        <x:v>31</x:v>
      </x:c>
      <x:c r="B35" s="54" t="n">
        <x:v>3</x:v>
      </x:c>
      <x:c r="C35" s="51" t="str">
        <x:v>一直</x:v>
      </x:c>
      <x:c r="D35" s="50" t="str">
        <x:v>yìzhí</x:v>
      </x:c>
      <x:c r="E35" s="50" t="str">
        <x:v>adverb</x:v>
      </x:c>
      <x:c r="F35" s="52" t="str">
        <x:v>straight (in a straight line)</x:v>
      </x:c>
      <x:c r="G35" s="52" t="str">
        <x:v>continuously; all along</x:v>
      </x:c>
      <x:c r="H35" s="52" t="str">
        <x:v>straight (in a straight line) / continuously; always; all the way through</x:v>
      </x:c>
      <x:c r="I35" s="52" t="str">
        <x:v>continuously; all along</x:v>
      </x:c>
      <x:c r="J35" s="52" t="str">
        <x:v>hsk3-2025-11-0934-l3-yi4-zhi2</x:v>
      </x:c>
      <x:c r="K35" s="54" t="n">
        <x:v>934</x:v>
      </x:c>
      <x:c r="L35" s="55" t="n">
        <x:v>46296.5</x:v>
      </x:c>
    </x:row>
    <x:row r="36" ht="68" customHeight="1">
      <x:c r="A36" s="54" t="n">
        <x:v>32</x:v>
      </x:c>
      <x:c r="B36" s="54" t="n">
        <x:v>3</x:v>
      </x:c>
      <x:c r="C36" s="51" t="str">
        <x:v>越</x:v>
      </x:c>
      <x:c r="D36" s="50" t="str">
        <x:v>yuè</x:v>
      </x:c>
      <x:c r="E36" s="50" t="str">
        <x:v>adverb</x:v>
      </x:c>
      <x:c r="F36" s="52" t="str">
        <x:v>generic word for peoples or states of south China or south Asia at different historical periods</x:v>
      </x:c>
      <x:c r="G36" s="52" t="str">
        <x:v>the more... the more...</x:v>
      </x:c>
      <x:c r="H36" s="52" t="str">
        <x:v>generic word for peoples or states of south China or south Asia at different historical periods / abbr. for Vietnam 越南 / to exceed / to climb over / to surpass / the more... the more</x:v>
      </x:c>
      <x:c r="I36" s="52" t="str">
        <x:v>the more... the more...</x:v>
      </x:c>
      <x:c r="J36" s="52" t="str">
        <x:v>hsk3-2025-11-0958-l3-yue4</x:v>
      </x:c>
      <x:c r="K36" s="54" t="n">
        <x:v>958</x:v>
      </x:c>
      <x:c r="L36" s="55" t="n">
        <x:v>46296.5</x:v>
      </x:c>
    </x:row>
    <x:row r="37" ht="56" customHeight="1">
      <x:c r="A37" s="54" t="n">
        <x:v>33</x:v>
      </x:c>
      <x:c r="B37" s="54" t="n">
        <x:v>3</x:v>
      </x:c>
      <x:c r="C37" s="51" t="str">
        <x:v>张</x:v>
      </x:c>
      <x:c r="D37" s="50" t="str">
        <x:v>zhāng</x:v>
      </x:c>
      <x:c r="E37" s="50" t="str">
        <x:v>verb, measure word</x:v>
      </x:c>
      <x:c r="F37" s="52" t="str">
        <x:v>surname Zhang</x:v>
      </x:c>
      <x:c r="G37" s="52" t="str">
        <x:v>to open; to spread</x:v>
      </x:c>
      <x:c r="H37" s="52" t="str">
        <x:v>surname Zhang / to open up / to spread / sheet of paper / classifier for flat objects, sheet / classifier for votes</x:v>
      </x:c>
      <x:c r="I37" s="52" t="str">
        <x:v>to open; to spread / classifier for flat objects</x:v>
      </x:c>
      <x:c r="J37" s="52" t="str">
        <x:v>hsk3-2025-11-0967-l3-zhang1</x:v>
      </x:c>
      <x:c r="K37" s="54" t="n">
        <x:v>967</x:v>
      </x:c>
      <x:c r="L37" s="55" t="n">
        <x:v>46296.5</x:v>
      </x:c>
    </x:row>
    <x:row r="38" ht="44" customHeight="1">
      <x:c r="A38" s="54" t="n">
        <x:v>34</x:v>
      </x:c>
      <x:c r="B38" s="54" t="n">
        <x:v>3</x:v>
      </x:c>
      <x:c r="C38" s="51" t="str">
        <x:v>种</x:v>
      </x:c>
      <x:c r="D38" s="50" t="str">
        <x:v>zhǒng</x:v>
      </x:c>
      <x:c r="E38" s="50" t="str">
        <x:v>measure word</x:v>
      </x:c>
      <x:c r="F38" s="52" t="str">
        <x:v>seed</x:v>
      </x:c>
      <x:c r="G38" s="52" t="str">
        <x:v>kind; type</x:v>
      </x:c>
      <x:c r="H38" s="52" t="str">
        <x:v>seed / species / kind / type / classifier for types, kinds, sorts</x:v>
      </x:c>
      <x:c r="I38" s="52" t="str">
        <x:v>kind; type / classifier for kinds</x:v>
      </x:c>
      <x:c r="J38" s="52" t="str">
        <x:v>hsk3-2025-11-0984-l3-zhong3</x:v>
      </x:c>
      <x:c r="K38" s="54" t="n">
        <x:v>984</x:v>
      </x:c>
      <x:c r="L38" s="55" t="n">
        <x:v>46296.5</x:v>
      </x:c>
    </x:row>
    <x:row r="39" ht="80" customHeight="1">
      <x:c r="A39" s="54" t="n">
        <x:v>35</x:v>
      </x:c>
      <x:c r="B39" s="54" t="n">
        <x:v>3</x:v>
      </x:c>
      <x:c r="C39" s="51" t="str">
        <x:v>总</x:v>
      </x:c>
      <x:c r="D39" s="50" t="str">
        <x:v>zǒng</x:v>
      </x:c>
      <x:c r="E39" s="50" t="str">
        <x:v>adverb</x:v>
      </x:c>
      <x:c r="F39" s="52" t="str">
        <x:v>(bound form) general; overall</x:v>
      </x:c>
      <x:c r="G39" s="52" t="str">
        <x:v>always; invariably</x:v>
      </x:c>
      <x:c r="H39" s="52" t="str">
        <x:v>(bound form) general; overall / to sum up / in every case; always; invariably / anyway; after all; eventually; sooner or later / surely / (after a person's name) abbr. for 总经理[zong3 jing1 li3] or 总编[zong3 bian1] etc</x:v>
      </x:c>
      <x:c r="I39" s="52" t="str">
        <x:v>always; invariably / anyway; after all</x:v>
      </x:c>
      <x:c r="J39" s="52" t="str">
        <x:v>hsk3-2025-11-0993-l3-zong3</x:v>
      </x:c>
      <x:c r="K39" s="54" t="n">
        <x:v>993</x:v>
      </x:c>
      <x:c r="L39" s="55" t="n">
        <x:v>46296.5</x:v>
      </x:c>
    </x:row>
    <x:row r="40" ht="44" customHeight="1">
      <x:c r="A40" s="54" t="n">
        <x:v>36</x:v>
      </x:c>
      <x:c r="B40" s="54" t="n">
        <x:v>4</x:v>
      </x:c>
      <x:c r="C40" s="51" t="str">
        <x:v>半</x:v>
      </x:c>
      <x:c r="D40" s="50" t="str">
        <x:v>bàn</x:v>
      </x:c>
      <x:c r="E40" s="50" t="str">
        <x:v>adverb</x:v>
      </x:c>
      <x:c r="F40" s="52" t="str">
        <x:v>half</x:v>
      </x:c>
      <x:c r="G40" s="52" t="str">
        <x:v>half; partly</x:v>
      </x:c>
      <x:c r="H40" s="52" t="str">
        <x:v>half / semi- / incomplete / (after a number) and a half</x:v>
      </x:c>
      <x:c r="I40" s="52" t="str">
        <x:v>half; partly</x:v>
      </x:c>
      <x:c r="J40" s="52" t="str">
        <x:v>hsk3-2025-11-0007-l4-ban4</x:v>
      </x:c>
      <x:c r="K40" s="54" t="n">
        <x:v>7</x:v>
      </x:c>
      <x:c r="L40" s="55" t="n">
        <x:v>46296.5</x:v>
      </x:c>
    </x:row>
    <x:row r="41" ht="56" customHeight="1">
      <x:c r="A41" s="54" t="n">
        <x:v>37</x:v>
      </x:c>
      <x:c r="B41" s="54" t="n">
        <x:v>4</x:v>
      </x:c>
      <x:c r="C41" s="51" t="str">
        <x:v>叫</x:v>
      </x:c>
      <x:c r="D41" s="50" t="str">
        <x:v>jiào</x:v>
      </x:c>
      <x:c r="E41" s="50" t="str">
        <x:v>preposition</x:v>
      </x:c>
      <x:c r="F41" s="52" t="str">
        <x:v>to shout</x:v>
      </x:c>
      <x:c r="G41" s="52" t="str">
        <x:v>by; passive-voice marker</x:v>
      </x:c>
      <x:c r="H41" s="52" t="str">
        <x:v>to shout / to call / to order / to ask / to be called / by (indicates agent in the passive mood) / variant of 叫[jiao4]</x:v>
      </x:c>
      <x:c r="I41" s="52" t="str">
        <x:v>by; passive-voice marker</x:v>
      </x:c>
      <x:c r="J41" s="52" t="str">
        <x:v>hsk3-2025-11-0091-l4-jiao4</x:v>
      </x:c>
      <x:c r="K41" s="54" t="n">
        <x:v>91</x:v>
      </x:c>
      <x:c r="L41" s="55" t="n">
        <x:v>46296.5</x:v>
      </x:c>
    </x:row>
    <x:row r="42" ht="44" customHeight="1">
      <x:c r="A42" s="54" t="n">
        <x:v>38</x:v>
      </x:c>
      <x:c r="B42" s="54" t="n">
        <x:v>4</x:v>
      </x:c>
      <x:c r="C42" s="51" t="str">
        <x:v>日</x:v>
      </x:c>
      <x:c r="D42" s="50" t="str">
        <x:v>rì</x:v>
      </x:c>
      <x:c r="E42" s="50" t="str">
        <x:v>noun</x:v>
      </x:c>
      <x:c r="F42" s="52" t="str">
        <x:v>abbr. for 日本[Ri4 ben3], Japan</x:v>
      </x:c>
      <x:c r="G42" s="52" t="str">
        <x:v>day; date</x:v>
      </x:c>
      <x:c r="H42" s="52" t="str">
        <x:v>abbr. for 日本[Ri4 ben3], Japan / sun / day / date, day of the month</x:v>
      </x:c>
      <x:c r="I42" s="52" t="str">
        <x:v>day; date / sun</x:v>
      </x:c>
      <x:c r="J42" s="52" t="str">
        <x:v>hsk3-2025-11-0172-l4-ri4</x:v>
      </x:c>
      <x:c r="K42" s="54" t="n">
        <x:v>172</x:v>
      </x:c>
      <x:c r="L42" s="55" t="n">
        <x:v>46296.5</x:v>
      </x:c>
    </x:row>
    <x:row r="43" ht="96" customHeight="1">
      <x:c r="A43" s="54" t="n">
        <x:v>39</x:v>
      </x:c>
      <x:c r="B43" s="54" t="n">
        <x:v>4</x:v>
      </x:c>
      <x:c r="C43" s="51" t="str">
        <x:v>从</x:v>
      </x:c>
      <x:c r="D43" s="50" t="str">
        <x:v>cóng</x:v>
      </x:c>
      <x:c r="E43" s="50" t="str">
        <x:v>adverb</x:v>
      </x:c>
      <x:c r="F43" s="52" t="str">
        <x:v>from; through; via</x:v>
      </x:c>
      <x:c r="G43" s="52" t="str">
        <x:v>ever (used before a negative)</x:v>
      </x:c>
      <x:c r="H43" s="52" t="str">
        <x:v>from; through; via / (bound form) to follow / (bound form) to obey / (bound form) to engage in (an activity) / (used before a negative) ever / (bound form) (Taiwan pr. [zong4]) retainer; attendant / (bound form) (Taiwan pr. [zong4]) assistant; auxiliary; subordinate / (bound form) (Taiwan pr. [zong4]) related by common paternal grandfather or earlier ancestor / surname Cong / variant of 从[cong2]</x:v>
      </x:c>
      <x:c r="I43" s="52" t="str">
        <x:v>ever (used before a negative)</x:v>
      </x:c>
      <x:c r="J43" s="52" t="str">
        <x:v>hsk3-2025-11-0324-l4-cong2</x:v>
      </x:c>
      <x:c r="K43" s="54" t="n">
        <x:v>324</x:v>
      </x:c>
      <x:c r="L43" s="55" t="n">
        <x:v>46296.5</x:v>
      </x:c>
    </x:row>
    <x:row r="44" ht="80" customHeight="1">
      <x:c r="A44" s="54" t="n">
        <x:v>40</x:v>
      </x:c>
      <x:c r="B44" s="54" t="n">
        <x:v>4</x:v>
      </x:c>
      <x:c r="C44" s="51" t="str">
        <x:v>等</x:v>
      </x:c>
      <x:c r="D44" s="50" t="str">
        <x:v>děng</x:v>
      </x:c>
      <x:c r="E44" s="50" t="str">
        <x:v>preposition</x:v>
      </x:c>
      <x:c r="F44" s="52" t="str">
        <x:v>to wait for; to await</x:v>
      </x:c>
      <x:c r="G44" s="52" t="str">
        <x:v>by the time; when</x:v>
      </x:c>
      <x:c r="H44" s="52" t="str">
        <x:v>to wait for; to await / by the time; when; till / and so on; etc.; et al. / (bound form) class; rank; grade / (bound form) equal to; same as / (used to end an enumeration) / (literary) (plural suffix attached to a personal pronoun or noun)</x:v>
      </x:c>
      <x:c r="I44" s="52" t="str">
        <x:v>by the time; when</x:v>
      </x:c>
      <x:c r="J44" s="52" t="str">
        <x:v>hsk3-2025-11-0334-l4-deng3</x:v>
      </x:c>
      <x:c r="K44" s="54" t="n">
        <x:v>334</x:v>
      </x:c>
      <x:c r="L44" s="55" t="n">
        <x:v>46296.5</x:v>
      </x:c>
    </x:row>
    <x:row r="45" ht="96" customHeight="1">
      <x:c r="A45" s="54" t="n">
        <x:v>41</x:v>
      </x:c>
      <x:c r="B45" s="54" t="n">
        <x:v>4</x:v>
      </x:c>
      <x:c r="C45" s="51" t="str">
        <x:v>点</x:v>
      </x:c>
      <x:c r="D45" s="50" t="str">
        <x:v>diǎn</x:v>
      </x:c>
      <x:c r="E45" s="50" t="str">
        <x:v>noun, measure word</x:v>
      </x:c>
      <x:c r="F45" s="52" t="str">
        <x:v>to touch briefly; to tap</x:v>
      </x:c>
      <x:c r="G45" s="52" t="str">
        <x:v>a little; a bit</x:v>
      </x:c>
      <x:c r="H45" s="52" t="str">
        <x:v>to touch briefly; to tap / to mark with a dot; to check off (on a list) / to order (food etc); to select / to mention; to bring up (a topic or person) / to hint at; to imply / to administer (eye medicine etc) in drops / to light (a fire, a lamp etc); to ignite / to nod (one's head) in agreement; to beckon by moving (one's hand) up and down / point; dot; spot; speck / dot stroke in Chinese characters / (math.) decimal point / point in time or space / (after a number) o'clock / a small amount; a bit; (after a verb or adjective) a bit more / classifier for small amounts</x:v>
      </x:c>
      <x:c r="I45" s="52" t="str">
        <x:v>a little; a bit / small amount</x:v>
      </x:c>
      <x:c r="J45" s="52" t="str">
        <x:v>hsk3-2025-11-0336-l4-dian3</x:v>
      </x:c>
      <x:c r="K45" s="54" t="n">
        <x:v>336</x:v>
      </x:c>
      <x:c r="L45" s="55" t="n">
        <x:v>46296.5</x:v>
      </x:c>
    </x:row>
    <x:row r="46" ht="68" customHeight="1">
      <x:c r="A46" s="54" t="n">
        <x:v>42</x:v>
      </x:c>
      <x:c r="B46" s="54" t="n">
        <x:v>4</x:v>
      </x:c>
      <x:c r="C46" s="51" t="str">
        <x:v>让</x:v>
      </x:c>
      <x:c r="D46" s="50" t="str">
        <x:v>ràng</x:v>
      </x:c>
      <x:c r="E46" s="50" t="str">
        <x:v>preposition</x:v>
      </x:c>
      <x:c r="F46" s="52" t="str">
        <x:v>to yield</x:v>
      </x:c>
      <x:c r="G46" s="52" t="str">
        <x:v>by; passive-voice marker</x:v>
      </x:c>
      <x:c r="H46" s="52" t="str">
        <x:v>to yield / to permit / to let sb do sth / to have sb do sth / to make sb (feel sad etc) / by (indicates the agent in a passive clause, like 被[bei4])</x:v>
      </x:c>
      <x:c r="I46" s="52" t="str">
        <x:v>by; passive-voice marker</x:v>
      </x:c>
      <x:c r="J46" s="52" t="str">
        <x:v>hsk3-2025-11-0422-l4-rang4</x:v>
      </x:c>
      <x:c r="K46" s="54" t="n">
        <x:v>422</x:v>
      </x:c>
      <x:c r="L46" s="55" t="n">
        <x:v>46296.5</x:v>
      </x:c>
    </x:row>
    <x:row r="47" ht="96" customHeight="1">
      <x:c r="A47" s="54" t="n">
        <x:v>43</x:v>
      </x:c>
      <x:c r="B47" s="54" t="n">
        <x:v>4</x:v>
      </x:c>
      <x:c r="C47" s="51" t="str">
        <x:v>老</x:v>
      </x:c>
      <x:c r="D47" s="50" t="str">
        <x:v>lǎo</x:v>
      </x:c>
      <x:c r="E47" s="50" t="str">
        <x:v>adverb</x:v>
      </x:c>
      <x:c r="F47" s="52" t="str">
        <x:v>prefix used before the surname of a person or a numeral indicating the order of birth of the children in a family or to indicate affection or familiarity</x:v>
      </x:c>
      <x:c r="G47" s="52" t="str">
        <x:v>always; all the time</x:v>
      </x:c>
      <x:c r="H47" s="52" t="str">
        <x:v>prefix used before the surname of a person or a numeral indicating the order of birth of the children in a family or to indicate affection or familiarity / old (of people) / venerable (person) / experienced / of long standing / always / all the time / of the past / very / outdated / (of meat etc) tough</x:v>
      </x:c>
      <x:c r="I47" s="52" t="str">
        <x:v>always; all the time</x:v>
      </x:c>
      <x:c r="J47" s="52" t="str">
        <x:v>hsk3-2025-11-0745-l4-lao3</x:v>
      </x:c>
      <x:c r="K47" s="54" t="n">
        <x:v>745</x:v>
      </x:c>
      <x:c r="L47" s="55" t="n">
        <x:v>46296.5</x:v>
      </x:c>
    </x:row>
    <x:row r="48" ht="44" customHeight="1">
      <x:c r="A48" s="54" t="n">
        <x:v>44</x:v>
      </x:c>
      <x:c r="B48" s="54" t="n">
        <x:v>4</x:v>
      </x:c>
      <x:c r="C48" s="51" t="str">
        <x:v>怕</x:v>
      </x:c>
      <x:c r="D48" s="50" t="str">
        <x:v>pà</x:v>
      </x:c>
      <x:c r="E48" s="50" t="str">
        <x:v>adverb</x:v>
      </x:c>
      <x:c r="F48" s="52" t="str">
        <x:v>surname Pa</x:v>
      </x:c>
      <x:c r="G48" s="52" t="str">
        <x:v>perhaps; maybe</x:v>
      </x:c>
      <x:c r="H48" s="52" t="str">
        <x:v>surname Pa / to be afraid / to fear / to dread / to be unable to endure / perhaps</x:v>
      </x:c>
      <x:c r="I48" s="52" t="str">
        <x:v>perhaps; maybe</x:v>
      </x:c>
      <x:c r="J48" s="52" t="str">
        <x:v>hsk3-2025-11-0790-l4-pa4</x:v>
      </x:c>
      <x:c r="K48" s="54" t="n">
        <x:v>790</x:v>
      </x:c>
      <x:c r="L48" s="55" t="n">
        <x:v>46296.5</x:v>
      </x:c>
    </x:row>
    <x:row r="49" ht="56" customHeight="1">
      <x:c r="A49" s="54" t="n">
        <x:v>45</x:v>
      </x:c>
      <x:c r="B49" s="54" t="n">
        <x:v>4</x:v>
      </x:c>
      <x:c r="C49" s="51" t="str">
        <x:v>像</x:v>
      </x:c>
      <x:c r="D49" s="50" t="str">
        <x:v>xiàng</x:v>
      </x:c>
      <x:c r="E49" s="50" t="str">
        <x:v>adverb</x:v>
      </x:c>
      <x:c r="F49" s="52" t="str">
        <x:v>to resemble</x:v>
      </x:c>
      <x:c r="G49" s="52" t="str">
        <x:v>as if; such as</x:v>
      </x:c>
      <x:c r="H49" s="52" t="str">
        <x:v>to resemble / to be like / to look as if / such as / appearance / image / portrait / image under a mapping (math.)</x:v>
      </x:c>
      <x:c r="I49" s="52" t="str">
        <x:v>as if; such as</x:v>
      </x:c>
      <x:c r="J49" s="52" t="str">
        <x:v>hsk3-2025-11-0895-l4-xiang4</x:v>
      </x:c>
      <x:c r="K49" s="54" t="n">
        <x:v>895</x:v>
      </x:c>
      <x:c r="L49" s="55" t="n">
        <x:v>46296.5</x:v>
      </x:c>
    </x:row>
    <x:row r="50" ht="80" customHeight="1">
      <x:c r="A50" s="54" t="n">
        <x:v>46</x:v>
      </x:c>
      <x:c r="B50" s="54" t="n">
        <x:v>4</x:v>
      </x:c>
      <x:c r="C50" s="51" t="str">
        <x:v>按</x:v>
      </x:c>
      <x:c r="D50" s="50" t="str">
        <x:v>àn</x:v>
      </x:c>
      <x:c r="E50" s="50" t="str">
        <x:v>verb, preposition</x:v>
      </x:c>
      <x:c r="F50" s="52" t="str">
        <x:v>to press</x:v>
      </x:c>
      <x:c r="G50" s="52" t="str">
        <x:v>to press</x:v>
      </x:c>
      <x:c r="H50" s="52" t="str">
        <x:v>to press / to push / to leave aside or shelve / to control / to restrain / to keep one's hand on / to check or refer to / according to / in the light of / (of an editor or author) to make a comment</x:v>
      </x:c>
      <x:c r="I50" s="52" t="str">
        <x:v>to press / according to</x:v>
      </x:c>
      <x:c r="J50" s="52" t="str">
        <x:v>hsk3-2025-11-1006-l4-an4</x:v>
      </x:c>
      <x:c r="K50" s="54" t="n">
        <x:v>1006</x:v>
      </x:c>
      <x:c r="L50" s="55" t="n">
        <x:v>46296.5</x:v>
      </x:c>
    </x:row>
    <x:row r="51" ht="68" customHeight="1">
      <x:c r="A51" s="54" t="n">
        <x:v>47</x:v>
      </x:c>
      <x:c r="B51" s="54" t="n">
        <x:v>4</x:v>
      </x:c>
      <x:c r="C51" s="51" t="str">
        <x:v>并</x:v>
      </x:c>
      <x:c r="D51" s="50" t="str">
        <x:v>bìng</x:v>
      </x:c>
      <x:c r="E51" s="50" t="str">
        <x:v>verb, adverb, conjunction</x:v>
      </x:c>
      <x:c r="F51" s="52" t="str">
        <x:v>and</x:v>
      </x:c>
      <x:c r="G51" s="52" t="str">
        <x:v>to combine</x:v>
      </x:c>
      <x:c r="H51" s="52" t="str">
        <x:v>and / furthermore / also / together with / (not) at all / simultaneously / to combine / to join / to merge / to combine / to amalgamate / variant of 并[bing4]</x:v>
      </x:c>
      <x:c r="I51" s="52" t="str">
        <x:v>to combine / and; also / not at all (with a negative)</x:v>
      </x:c>
      <x:c r="J51" s="52" t="str">
        <x:v>hsk3-2025-11-1039-l4-bing4</x:v>
      </x:c>
      <x:c r="K51" s="54" t="n">
        <x:v>1039</x:v>
      </x:c>
      <x:c r="L51" s="55" t="n">
        <x:v>46296.5</x:v>
      </x:c>
    </x:row>
    <x:row r="52" ht="56" customHeight="1">
      <x:c r="A52" s="54" t="n">
        <x:v>48</x:v>
      </x:c>
      <x:c r="B52" s="54" t="n">
        <x:v>4</x:v>
      </x:c>
      <x:c r="C52" s="51" t="str">
        <x:v>部</x:v>
      </x:c>
      <x:c r="D52" s="50" t="str">
        <x:v>bù</x:v>
      </x:c>
      <x:c r="E52" s="50" t="str">
        <x:v>noun, measure word</x:v>
      </x:c>
      <x:c r="F52" s="52" t="str">
        <x:v>ministry</x:v>
      </x:c>
      <x:c r="G52" s="52" t="str">
        <x:v>part; department</x:v>
      </x:c>
      <x:c r="H52" s="52" t="str">
        <x:v>ministry / department / section / part / division / troops / board / classifier for works of literature, films, machines etc</x:v>
      </x:c>
      <x:c r="I52" s="52" t="str">
        <x:v>part; department / classifier for books, films, or machines</x:v>
      </x:c>
      <x:c r="J52" s="52" t="str">
        <x:v>hsk3-2025-11-1050-l4-bu4</x:v>
      </x:c>
      <x:c r="K52" s="54" t="n">
        <x:v>1050</x:v>
      </x:c>
      <x:c r="L52" s="55" t="n">
        <x:v>46296.5</x:v>
      </x:c>
    </x:row>
    <x:row r="53" ht="68" customHeight="1">
      <x:c r="A53" s="54" t="n">
        <x:v>49</x:v>
      </x:c>
      <x:c r="B53" s="54" t="n">
        <x:v>4</x:v>
      </x:c>
      <x:c r="C53" s="51" t="str">
        <x:v>场</x:v>
      </x:c>
      <x:c r="D53" s="50" t="str">
        <x:v>chǎng</x:v>
      </x:c>
      <x:c r="E53" s="50" t="str">
        <x:v>measure word</x:v>
      </x:c>
      <x:c r="F53" s="52" t="str">
        <x:v>large place used for a specific purpose</x:v>
      </x:c>
      <x:c r="G53" s="52" t="str">
        <x:v>classifier for events, activities, or exams</x:v>
      </x:c>
      <x:c r="H53" s="52" t="str">
        <x:v>large place used for a specific purpose / stage / scene (of a play) / classifier for sporting or recreational activities / classifier for number of exams / variant of 场[chang3]</x:v>
      </x:c>
      <x:c r="I53" s="52" t="str">
        <x:v>classifier for events, activities, or exams</x:v>
      </x:c>
      <x:c r="J53" s="52" t="str">
        <x:v>hsk3-2025-11-1073-l4-chang3</x:v>
      </x:c>
      <x:c r="K53" s="54" t="n">
        <x:v>1073</x:v>
      </x:c>
      <x:c r="L53" s="55" t="n">
        <x:v>46296.5</x:v>
      </x:c>
    </x:row>
    <x:row r="54" ht="44" customHeight="1">
      <x:c r="A54" s="54" t="n">
        <x:v>50</x:v>
      </x:c>
      <x:c r="B54" s="54" t="n">
        <x:v>4</x:v>
      </x:c>
      <x:c r="C54" s="51" t="str">
        <x:v>重</x:v>
      </x:c>
      <x:c r="D54" s="50" t="str">
        <x:v>chóng</x:v>
      </x:c>
      <x:c r="E54" s="50" t="str">
        <x:v>adverb</x:v>
      </x:c>
      <x:c r="F54" s="52" t="str">
        <x:v>to repeat</x:v>
      </x:c>
      <x:c r="G54" s="52" t="str">
        <x:v>again; repeatedly</x:v>
      </x:c>
      <x:c r="H54" s="52" t="str">
        <x:v>to repeat / repetition / again / re- / classifier: layer</x:v>
      </x:c>
      <x:c r="I54" s="52" t="str">
        <x:v>again; repeatedly</x:v>
      </x:c>
      <x:c r="J54" s="52" t="str">
        <x:v>hsk3-2025-11-1086-l4-chong2</x:v>
      </x:c>
      <x:c r="K54" s="54" t="n">
        <x:v>1086</x:v>
      </x:c>
      <x:c r="L54" s="55" t="n">
        <x:v>46296.5</x:v>
      </x:c>
    </x:row>
    <x:row r="55" ht="80" customHeight="1">
      <x:c r="A55" s="54" t="n">
        <x:v>51</x:v>
      </x:c>
      <x:c r="B55" s="54" t="n">
        <x:v>4</x:v>
      </x:c>
      <x:c r="C55" s="51" t="str">
        <x:v>当</x:v>
      </x:c>
      <x:c r="D55" s="50" t="str">
        <x:v>dāng</x:v>
      </x:c>
      <x:c r="E55" s="50" t="str">
        <x:v>verb, preposition</x:v>
      </x:c>
      <x:c r="F55" s="52" t="str">
        <x:v>(onom.) dong</x:v>
      </x:c>
      <x:c r="G55" s="52" t="str">
        <x:v>to be; to serve as</x:v>
      </x:c>
      <x:c r="H55" s="52" t="str">
        <x:v>(onom.) dong / ding dong (bell) / to be / to act as / manage / withstand / when / during / ought / should / match equally / equal / same / obstruct / just at (a time or place) / on the spot / right / just at</x:v>
      </x:c>
      <x:c r="I55" s="52" t="str">
        <x:v>to be; to serve as / when; during</x:v>
      </x:c>
      <x:c r="J55" s="52" t="str">
        <x:v>hsk3-2025-11-1135-l4-dang1</x:v>
      </x:c>
      <x:c r="K55" s="54" t="n">
        <x:v>1135</x:v>
      </x:c>
      <x:c r="L55" s="55" t="n">
        <x:v>46296.5</x:v>
      </x:c>
    </x:row>
    <x:row r="56" ht="96" customHeight="1">
      <x:c r="A56" s="54" t="n">
        <x:v>52</x:v>
      </x:c>
      <x:c r="B56" s="54" t="n">
        <x:v>4</x:v>
      </x:c>
      <x:c r="C56" s="51" t="str">
        <x:v>道</x:v>
      </x:c>
      <x:c r="D56" s="50" t="str">
        <x:v>dào</x:v>
      </x:c>
      <x:c r="E56" s="50" t="str">
        <x:v>noun, measure word</x:v>
      </x:c>
      <x:c r="F56" s="52" t="str">
        <x:v>road; path (CL:条[tiao2],股[gu3])</x:v>
      </x:c>
      <x:c r="G56" s="52" t="str">
        <x:v>way; path</x:v>
      </x:c>
      <x:c r="H56" s="52" t="str">
        <x:v>road; path (CL:条[tiao2],股[gu3]) / (bound form) way; reason; principle / (bound form) a skill; an art; a specialization / (Daoism) the Way; the Dao / to say (introducing a direct quotation, as in a novel) / (bound form) to express; to extend (polite words) / classifier for long thin things (rivers, cracks, shadows etc), barriers (walls, doors etc), questions (in an exam etc), commands, courses in a meal, steps in a process / (old) circuit (administrative division)</x:v>
      </x:c>
      <x:c r="I56" s="52" t="str">
        <x:v>way; path / classifier for questions, courses, or barriers</x:v>
      </x:c>
      <x:c r="J56" s="52" t="str">
        <x:v>hsk3-2025-11-1140-l4-dao4</x:v>
      </x:c>
      <x:c r="K56" s="54" t="n">
        <x:v>1140</x:v>
      </x:c>
      <x:c r="L56" s="55" t="n">
        <x:v>46296.5</x:v>
      </x:c>
    </x:row>
    <x:row r="57" ht="80" customHeight="1">
      <x:c r="A57" s="54" t="n">
        <x:v>53</x:v>
      </x:c>
      <x:c r="B57" s="54" t="n">
        <x:v>4</x:v>
      </x:c>
      <x:c r="C57" s="51" t="str">
        <x:v>等</x:v>
      </x:c>
      <x:c r="D57" s="50" t="str">
        <x:v>děng</x:v>
      </x:c>
      <x:c r="E57" s="50" t="str">
        <x:v>particle</x:v>
      </x:c>
      <x:c r="F57" s="52" t="str">
        <x:v>to wait for; to await</x:v>
      </x:c>
      <x:c r="G57" s="52" t="str">
        <x:v>and so on; etc.</x:v>
      </x:c>
      <x:c r="H57" s="52" t="str">
        <x:v>to wait for; to await / by the time; when; till / and so on; etc.; et al. / (bound form) class; rank; grade / (bound form) equal to; same as / (used to end an enumeration) / (literary) (plural suffix attached to a personal pronoun or noun)</x:v>
      </x:c>
      <x:c r="I57" s="52" t="str">
        <x:v>and so on; etc.</x:v>
      </x:c>
      <x:c r="J57" s="52" t="str">
        <x:v>hsk3-2025-11-1147-l4-deng3</x:v>
      </x:c>
      <x:c r="K57" s="54" t="n">
        <x:v>1147</x:v>
      </x:c>
      <x:c r="L57" s="55" t="n">
        <x:v>46296.5</x:v>
      </x:c>
    </x:row>
    <x:row r="58" ht="68" customHeight="1">
      <x:c r="A58" s="54" t="n">
        <x:v>54</x:v>
      </x:c>
      <x:c r="B58" s="54" t="n">
        <x:v>4</x:v>
      </x:c>
      <x:c r="C58" s="51" t="str">
        <x:v>顿</x:v>
      </x:c>
      <x:c r="D58" s="50" t="str">
        <x:v>dùn</x:v>
      </x:c>
      <x:c r="E58" s="50" t="str">
        <x:v>measure word</x:v>
      </x:c>
      <x:c r="F58" s="52" t="str">
        <x:v>to stop</x:v>
      </x:c>
      <x:c r="G58" s="52" t="str">
        <x:v>classifier for meals, beatings, or scoldings</x:v>
      </x:c>
      <x:c r="H58" s="52" t="str">
        <x:v>to stop / to pause / to arrange / to lay out / to kowtow / to stamp (one's foot) / at once / classifier for meals, beatings, scoldings etc: time, bout, spell, meal</x:v>
      </x:c>
      <x:c r="I58" s="52" t="str">
        <x:v>classifier for meals, beatings, or scoldings</x:v>
      </x:c>
      <x:c r="J58" s="52" t="str">
        <x:v>hsk3-2025-11-1179-l4-dun4</x:v>
      </x:c>
      <x:c r="K58" s="54" t="n">
        <x:v>1179</x:v>
      </x:c>
      <x:c r="L58" s="55" t="n">
        <x:v>46296.5</x:v>
      </x:c>
    </x:row>
    <x:row r="59" ht="56" customHeight="1">
      <x:c r="A59" s="54" t="n">
        <x:v>55</x:v>
      </x:c>
      <x:c r="B59" s="54" t="n">
        <x:v>4</x:v>
      </x:c>
      <x:c r="C59" s="51" t="str">
        <x:v>份</x:v>
      </x:c>
      <x:c r="D59" s="50" t="str">
        <x:v>fèn</x:v>
      </x:c>
      <x:c r="E59" s="50" t="str">
        <x:v>measure word</x:v>
      </x:c>
      <x:c r="F59" s="52" t="str">
        <x:v>classifier for gifts, newspaper, magazine, papers, reports, contracts etc</x:v>
      </x:c>
      <x:c r="G59" s="52" t="str">
        <x:v>portion; copy</x:v>
      </x:c>
      <x:c r="H59" s="52" t="str">
        <x:v>classifier for gifts, newspaper, magazine, papers, reports, contracts etc / variant of 分[fen4]</x:v>
      </x:c>
      <x:c r="I59" s="52" t="str">
        <x:v>portion; copy / classifier for documents or jobs</x:v>
      </x:c>
      <x:c r="J59" s="52" t="str">
        <x:v>hsk3-2025-11-1203-l4-fen4</x:v>
      </x:c>
      <x:c r="K59" s="54" t="n">
        <x:v>1203</x:v>
      </x:c>
      <x:c r="L59" s="55" t="n">
        <x:v>46296.5</x:v>
      </x:c>
    </x:row>
    <x:row r="60" ht="44" customHeight="1">
      <x:c r="A60" s="54" t="n">
        <x:v>56</x:v>
      </x:c>
      <x:c r="B60" s="54" t="n">
        <x:v>4</x:v>
      </x:c>
      <x:c r="C60" s="51" t="str">
        <x:v>幅</x:v>
      </x:c>
      <x:c r="D60" s="50" t="str">
        <x:v>fú</x:v>
      </x:c>
      <x:c r="E60" s="50" t="str">
        <x:v>measure word</x:v>
      </x:c>
      <x:c r="F60" s="52" t="str">
        <x:v>width</x:v>
      </x:c>
      <x:c r="G60" s="52" t="str">
        <x:v>classifier for pictures or textiles</x:v>
      </x:c>
      <x:c r="H60" s="52" t="str">
        <x:v>width / roll / classifier for textiles or pictures</x:v>
      </x:c>
      <x:c r="I60" s="52" t="str">
        <x:v>classifier for pictures or textiles</x:v>
      </x:c>
      <x:c r="J60" s="52" t="str">
        <x:v>hsk3-2025-11-1207-l4-fu2</x:v>
      </x:c>
      <x:c r="K60" s="54" t="n">
        <x:v>1207</x:v>
      </x:c>
      <x:c r="L60" s="55" t="n">
        <x:v>46296.5</x:v>
      </x:c>
    </x:row>
    <x:row r="61" ht="44" customHeight="1">
      <x:c r="A61" s="54" t="n">
        <x:v>57</x:v>
      </x:c>
      <x:c r="B61" s="54" t="n">
        <x:v>4</x:v>
      </x:c>
      <x:c r="C61" s="51" t="str">
        <x:v>感</x:v>
      </x:c>
      <x:c r="D61" s="50" t="str">
        <x:v>gǎn</x:v>
      </x:c>
      <x:c r="E61" s="50" t="str">
        <x:v>suffix</x:v>
      </x:c>
      <x:c r="F61" s="52" t="str">
        <x:v>to feel</x:v>
      </x:c>
      <x:c r="G61" s="52" t="str">
        <x:v>sense of; feeling of</x:v>
      </x:c>
      <x:c r="H61" s="52" t="str">
        <x:v>to feel / to move / to touch / to affect / feeling / emotion / (suffix) sense of ~</x:v>
      </x:c>
      <x:c r="I61" s="52" t="str">
        <x:v>sense of; feeling of</x:v>
      </x:c>
      <x:c r="J61" s="52" t="str">
        <x:v>hsk3-2025-11-1224-l4-gan3</x:v>
      </x:c>
      <x:c r="K61" s="54" t="n">
        <x:v>1224</x:v>
      </x:c>
      <x:c r="L61" s="55" t="n">
        <x:v>46296.5</x:v>
      </x:c>
    </x:row>
    <x:row r="62" ht="56" customHeight="1">
      <x:c r="A62" s="54" t="n">
        <x:v>58</x:v>
      </x:c>
      <x:c r="B62" s="54" t="n">
        <x:v>4</x:v>
      </x:c>
      <x:c r="C62" s="51" t="str">
        <x:v>将</x:v>
      </x:c>
      <x:c r="D62" s="50" t="str">
        <x:v>jiāng</x:v>
      </x:c>
      <x:c r="E62" s="50" t="str">
        <x:v>preposition, adverb</x:v>
      </x:c>
      <x:c r="F62" s="52" t="str">
        <x:v>will</x:v>
      </x:c>
      <x:c r="G62" s="52" t="str">
        <x:v>will; shall</x:v>
      </x:c>
      <x:c r="H62" s="52" t="str">
        <x:v>will / shall / to use / to take / to checkmate / just a short while ago / (introduces object of main verb, used in the same way as 把[ba3])</x:v>
      </x:c>
      <x:c r="I62" s="52" t="str">
        <x:v>will; shall / object marker similar to 把</x:v>
      </x:c>
      <x:c r="J62" s="52" t="str">
        <x:v>hsk3-2025-11-1356-l4-jiang1</x:v>
      </x:c>
      <x:c r="K62" s="54" t="n">
        <x:v>1356</x:v>
      </x:c>
      <x:c r="L62" s="55" t="n">
        <x:v>46296.5</x:v>
      </x:c>
    </x:row>
    <x:row r="63" ht="44" customHeight="1">
      <x:c r="A63" s="54" t="n">
        <x:v>59</x:v>
      </x:c>
      <x:c r="B63" s="54" t="n">
        <x:v>4</x:v>
      </x:c>
      <x:c r="C63" s="51" t="str">
        <x:v>结果</x:v>
      </x:c>
      <x:c r="D63" s="50" t="str">
        <x:v>jiéguǒ</x:v>
      </x:c>
      <x:c r="E63" s="50" t="str">
        <x:v>noun, conjunction</x:v>
      </x:c>
      <x:c r="F63" s="52" t="str">
        <x:v>outcome; result; consequence</x:v>
      </x:c>
      <x:c r="G63" s="52" t="str">
        <x:v>result; outcome</x:v>
      </x:c>
      <x:c r="H63" s="52" t="str">
        <x:v>outcome; result; consequence / in the end; as a result / to kill; to dispatch</x:v>
      </x:c>
      <x:c r="I63" s="52" t="str">
        <x:v>result; outcome / as a result; in the end</x:v>
      </x:c>
      <x:c r="J63" s="52" t="str">
        <x:v>hsk3-2025-11-1382-l4-jie2-guo3</x:v>
      </x:c>
      <x:c r="K63" s="54" t="n">
        <x:v>1382</x:v>
      </x:c>
      <x:c r="L63" s="55" t="n">
        <x:v>46296.5</x:v>
      </x:c>
    </x:row>
    <x:row r="64" ht="44" customHeight="1">
      <x:c r="A64" s="54" t="n">
        <x:v>60</x:v>
      </x:c>
      <x:c r="B64" s="54" t="n">
        <x:v>4</x:v>
      </x:c>
      <x:c r="C64" s="51" t="str">
        <x:v>棵</x:v>
      </x:c>
      <x:c r="D64" s="50" t="str">
        <x:v>kē</x:v>
      </x:c>
      <x:c r="E64" s="50" t="str">
        <x:v>measure word</x:v>
      </x:c>
      <x:c r="F64" s="52" t="str">
        <x:v>classifier for trees, cabbages, plants etc</x:v>
      </x:c>
      <x:c r="G64" s="52" t="str">
        <x:v>classifier for trees and plants</x:v>
      </x:c>
      <x:c r="H64" s="52" t="str">
        <x:v>classifier for trees, cabbages, plants etc</x:v>
      </x:c>
      <x:c r="I64" s="52" t="str">
        <x:v>classifier for trees and plants</x:v>
      </x:c>
      <x:c r="J64" s="52" t="str">
        <x:v>hsk3-2025-11-1424-l4-ke1</x:v>
      </x:c>
      <x:c r="K64" s="54" t="n">
        <x:v>1424</x:v>
      </x:c>
      <x:c r="L64" s="55" t="n">
        <x:v>46296.5</x:v>
      </x:c>
    </x:row>
    <x:row r="65" ht="96" customHeight="1">
      <x:c r="A65" s="54" t="n">
        <x:v>61</x:v>
      </x:c>
      <x:c r="B65" s="54" t="n">
        <x:v>4</x:v>
      </x:c>
      <x:c r="C65" s="51" t="str">
        <x:v>克</x:v>
      </x:c>
      <x:c r="D65" s="50" t="str">
        <x:v>kè</x:v>
      </x:c>
      <x:c r="E65" s="50" t="str">
        <x:v>measure word</x:v>
      </x:c>
      <x:c r="F65" s="52" t="str">
        <x:v>Ke (c. 2000 BC), seventh of the legendary Flame Emperors, 炎帝[Yan2 di4] descended from Shennong 神农[Shen2 nong2] Farmer God</x:v>
      </x:c>
      <x:c r="G65" s="52" t="str">
        <x:v>gram</x:v>
      </x:c>
      <x:c r="H65" s="52" t="str">
        <x:v>Ke (c. 2000 BC), seventh of the legendary Flame Emperors, 炎帝[Yan2 di4] descended from Shennong 神农[Shen2 nong2] Farmer God / abbr. for 克罗地亚[Ke4 luo2 di4 ya4], Croatia / (Tw) abbr. for 克罗埃西亚[Ke4 luo2 ai1 xi1 ya4], Croatia / to be able to / to subdue / to restrain / to overcome / gram / Tibetan unit of land area, about 6 ares / variant of 克[ke4] / to subdue / to overthrow / to restrain / variant of 克[ke4]</x:v>
      </x:c>
      <x:c r="I65" s="52" t="str">
        <x:v>gram</x:v>
      </x:c>
      <x:c r="J65" s="52" t="str">
        <x:v>hsk3-2025-11-1430-l4-ke4</x:v>
      </x:c>
      <x:c r="K65" s="54" t="n">
        <x:v>1430</x:v>
      </x:c>
      <x:c r="L65" s="55" t="n">
        <x:v>46296.5</x:v>
      </x:c>
    </x:row>
    <x:row r="66" ht="68" customHeight="1">
      <x:c r="A66" s="54" t="n">
        <x:v>62</x:v>
      </x:c>
      <x:c r="B66" s="54" t="n">
        <x:v>4</x:v>
      </x:c>
      <x:c r="C66" s="51" t="str">
        <x:v>连</x:v>
      </x:c>
      <x:c r="D66" s="50" t="str">
        <x:v>lián</x:v>
      </x:c>
      <x:c r="E66" s="50" t="str">
        <x:v>preposition</x:v>
      </x:c>
      <x:c r="F66" s="52" t="str">
        <x:v>surname Lian</x:v>
      </x:c>
      <x:c r="G66" s="52" t="str">
        <x:v>including</x:v>
      </x:c>
      <x:c r="H66" s="52" t="str">
        <x:v>surname Lian / to link / to join / to connect / continuously / in succession / including / (used with 也[ye3], 都[dou1] etc) even / company (military)</x:v>
      </x:c>
      <x:c r="I66" s="52" t="str">
        <x:v>including / even (used with 也 or 都)</x:v>
      </x:c>
      <x:c r="J66" s="52" t="str">
        <x:v>hsk3-2025-11-1469-l4-lian2</x:v>
      </x:c>
      <x:c r="K66" s="54" t="n">
        <x:v>1469</x:v>
      </x:c>
      <x:c r="L66" s="55" t="n">
        <x:v>46296.5</x:v>
      </x:c>
    </x:row>
    <x:row r="67" ht="56" customHeight="1">
      <x:c r="A67" s="54" t="n">
        <x:v>63</x:v>
      </x:c>
      <x:c r="B67" s="54" t="n">
        <x:v>4</x:v>
      </x:c>
      <x:c r="C67" s="51" t="str">
        <x:v>两</x:v>
      </x:c>
      <x:c r="D67" s="50" t="str">
        <x:v>liǎng</x:v>
      </x:c>
      <x:c r="E67" s="50" t="str">
        <x:v>measure word</x:v>
      </x:c>
      <x:c r="F67" s="52" t="str">
        <x:v>two</x:v>
      </x:c>
      <x:c r="G67" s="52" t="str">
        <x:v>two; both</x:v>
      </x:c>
      <x:c r="H67" s="52" t="str">
        <x:v>two / both / some / a few / tael, unit of weight equal to 50 grams (modern) or 1⁄16 of a catty 斤[jin1] (old)</x:v>
      </x:c>
      <x:c r="I67" s="52" t="str">
        <x:v>two; both</x:v>
      </x:c>
      <x:c r="J67" s="52" t="str">
        <x:v>hsk3-2025-11-1473-l4-liang3</x:v>
      </x:c>
      <x:c r="K67" s="54" t="n">
        <x:v>1473</x:v>
      </x:c>
      <x:c r="L67" s="55" t="n">
        <x:v>46296.5</x:v>
      </x:c>
    </x:row>
    <x:row r="68" ht="44" customHeight="1">
      <x:c r="A68" s="54" t="n">
        <x:v>64</x:v>
      </x:c>
      <x:c r="B68" s="54" t="n">
        <x:v>4</x:v>
      </x:c>
      <x:c r="C68" s="51" t="str">
        <x:v>列</x:v>
      </x:c>
      <x:c r="D68" s="50" t="str">
        <x:v>liè</x:v>
      </x:c>
      <x:c r="E68" s="50" t="str">
        <x:v>verb, measure word</x:v>
      </x:c>
      <x:c r="F68" s="52" t="str">
        <x:v>to arrange</x:v>
      </x:c>
      <x:c r="G68" s="52" t="str">
        <x:v>to line up; to arrange</x:v>
      </x:c>
      <x:c r="H68" s="52" t="str">
        <x:v>to arrange / to line up / file / series / (in data tables) column / (Tw) row</x:v>
      </x:c>
      <x:c r="I68" s="52" t="str">
        <x:v>to line up; to arrange / row; column</x:v>
      </x:c>
      <x:c r="J68" s="52" t="str">
        <x:v>hsk3-2025-11-1475-l4-lie4</x:v>
      </x:c>
      <x:c r="K68" s="54" t="n">
        <x:v>1475</x:v>
      </x:c>
      <x:c r="L68" s="55" t="n">
        <x:v>46296.5</x:v>
      </x:c>
    </x:row>
    <x:row r="69" ht="44" customHeight="1">
      <x:c r="A69" s="54" t="n">
        <x:v>65</x:v>
      </x:c>
      <x:c r="B69" s="54" t="n">
        <x:v>4</x:v>
      </x:c>
      <x:c r="C69" s="51" t="str">
        <x:v>秒</x:v>
      </x:c>
      <x:c r="D69" s="50" t="str">
        <x:v>miǎo</x:v>
      </x:c>
      <x:c r="E69" s="50" t="str">
        <x:v>measure word</x:v>
      </x:c>
      <x:c r="F69" s="52" t="str">
        <x:v>second (unit of time)</x:v>
      </x:c>
      <x:c r="G69" s="52" t="str">
        <x:v>second (unit of time)</x:v>
      </x:c>
      <x:c r="H69" s="52" t="str">
        <x:v>second (unit of time) / arc second (angular measurement unit) / (coll.) instantly</x:v>
      </x:c>
      <x:c r="I69" s="52" t="str">
        <x:v>second (unit of time)</x:v>
      </x:c>
      <x:c r="J69" s="52" t="str">
        <x:v>hsk3-2025-11-1511-l4-miao3</x:v>
      </x:c>
      <x:c r="K69" s="54" t="n">
        <x:v>1511</x:v>
      </x:c>
      <x:c r="L69" s="55" t="n">
        <x:v>46296.5</x:v>
      </x:c>
    </x:row>
    <x:row r="70" ht="56" customHeight="1">
      <x:c r="A70" s="54" t="n">
        <x:v>66</x:v>
      </x:c>
      <x:c r="B70" s="54" t="n">
        <x:v>4</x:v>
      </x:c>
      <x:c r="C70" s="51" t="str">
        <x:v>篇</x:v>
      </x:c>
      <x:c r="D70" s="50" t="str">
        <x:v>piān</x:v>
      </x:c>
      <x:c r="E70" s="50" t="str">
        <x:v>noun, measure word</x:v>
      </x:c>
      <x:c r="F70" s="52" t="str">
        <x:v>sheet</x:v>
      </x:c>
      <x:c r="G70" s="52" t="str">
        <x:v>article; piece of writing</x:v>
      </x:c>
      <x:c r="H70" s="52" t="str">
        <x:v>sheet / piece of writing / bound set of bamboo slips used for record keeping (old) / classifier for written items: chapter, article</x:v>
      </x:c>
      <x:c r="I70" s="52" t="str">
        <x:v>article; piece of writing / classifier for written works</x:v>
      </x:c>
      <x:c r="J70" s="52" t="str">
        <x:v>hsk3-2025-11-1554-l4-pian1</x:v>
      </x:c>
      <x:c r="K70" s="54" t="n">
        <x:v>1554</x:v>
      </x:c>
      <x:c r="L70" s="55" t="n">
        <x:v>46296.5</x:v>
      </x:c>
    </x:row>
    <x:row r="71" ht="96" customHeight="1">
      <x:c r="A71" s="54" t="n">
        <x:v>67</x:v>
      </x:c>
      <x:c r="B71" s="54" t="n">
        <x:v>4</x:v>
      </x:c>
      <x:c r="C71" s="51" t="str">
        <x:v>片</x:v>
      </x:c>
      <x:c r="D71" s="50" t="str">
        <x:v>piàn</x:v>
      </x:c>
      <x:c r="E71" s="50" t="str">
        <x:v>noun, measure word</x:v>
      </x:c>
      <x:c r="F71" s="52" t="str">
        <x:v>thin piece</x:v>
      </x:c>
      <x:c r="G71" s="52" t="str">
        <x:v>slice; piece</x:v>
      </x:c>
      <x:c r="H71" s="52" t="str">
        <x:v>thin piece / flake / a slice / film / TV play / to slice / to carve thin / partial / incomplete / one-sided / classifier for slices, tablets, tract of land, area of water / classifier for CDs, movies, DVDs etc / used with numeral 一[yi1]: classifier for scenario, scene, feeling, atmosphere, sound etc / Kangxi radical 91</x:v>
      </x:c>
      <x:c r="I71" s="52" t="str">
        <x:v>slice; piece / classifier for slices or areas</x:v>
      </x:c>
      <x:c r="J71" s="52" t="str">
        <x:v>hsk3-2025-11-1555-l4-pian4</x:v>
      </x:c>
      <x:c r="K71" s="54" t="n">
        <x:v>1555</x:v>
      </x:c>
      <x:c r="L71" s="55" t="n">
        <x:v>46296.5</x:v>
      </x:c>
    </x:row>
    <x:row r="72" ht="68" customHeight="1">
      <x:c r="A72" s="54" t="n">
        <x:v>68</x:v>
      </x:c>
      <x:c r="B72" s="54" t="n">
        <x:v>4</x:v>
      </x:c>
      <x:c r="C72" s="51" t="str">
        <x:v>期</x:v>
      </x:c>
      <x:c r="D72" s="50" t="str">
        <x:v>qī</x:v>
      </x:c>
      <x:c r="E72" s="50" t="str">
        <x:v>measure word</x:v>
      </x:c>
      <x:c r="F72" s="52" t="str">
        <x:v>a period of time</x:v>
      </x:c>
      <x:c r="G72" s="52" t="str">
        <x:v>period; issue</x:v>
      </x:c>
      <x:c r="H72" s="52" t="str">
        <x:v>a period of time / phase / stage / classifier for issues of a periodical, courses of study / time / term / period / to hope / Taiwan pr. [qi2] / variant of 期[qi1] / period / cycle</x:v>
      </x:c>
      <x:c r="I72" s="52" t="str">
        <x:v>period; issue / classifier for periodicals or courses</x:v>
      </x:c>
      <x:c r="J72" s="52" t="str">
        <x:v>hsk3-2025-11-1564-l4-qi1</x:v>
      </x:c>
      <x:c r="K72" s="54" t="n">
        <x:v>1564</x:v>
      </x:c>
      <x:c r="L72" s="55" t="n">
        <x:v>46296.5</x:v>
      </x:c>
    </x:row>
    <x:row r="73" ht="44" customHeight="1">
      <x:c r="A73" s="54" t="n">
        <x:v>69</x:v>
      </x:c>
      <x:c r="B73" s="54" t="n">
        <x:v>4</x:v>
      </x:c>
      <x:c r="C73" s="51" t="str">
        <x:v>首</x:v>
      </x:c>
      <x:c r="D73" s="50" t="str">
        <x:v>shǒu</x:v>
      </x:c>
      <x:c r="E73" s="50" t="str">
        <x:v>measure word</x:v>
      </x:c>
      <x:c r="F73" s="52" t="str">
        <x:v>head</x:v>
      </x:c>
      <x:c r="G73" s="52" t="str">
        <x:v>classifier for songs or poems</x:v>
      </x:c>
      <x:c r="H73" s="52" t="str">
        <x:v>head / chief / first (occasion, thing etc) / classifier for poems, songs etc</x:v>
      </x:c>
      <x:c r="I73" s="52" t="str">
        <x:v>classifier for songs or poems</x:v>
      </x:c>
      <x:c r="J73" s="52" t="str">
        <x:v>hsk3-2025-11-1681-l4-shou3</x:v>
      </x:c>
      <x:c r="K73" s="54" t="n">
        <x:v>1681</x:v>
      </x:c>
      <x:c r="L73" s="55" t="n">
        <x:v>46296.5</x:v>
      </x:c>
    </x:row>
    <x:row r="74" ht="36" customHeight="1">
      <x:c r="A74" s="54" t="n">
        <x:v>70</x:v>
      </x:c>
      <x:c r="B74" s="54" t="n">
        <x:v>4</x:v>
      </x:c>
      <x:c r="C74" s="51" t="str">
        <x:v>数</x:v>
      </x:c>
      <x:c r="D74" s="50" t="str">
        <x:v>shù</x:v>
      </x:c>
      <x:c r="E74" s="50" t="str">
        <x:v>noun, numeral</x:v>
      </x:c>
      <x:c r="F74" s="52" t="str">
        <x:v>number; figure</x:v>
      </x:c>
      <x:c r="G74" s="52" t="str">
        <x:v>number; figure</x:v>
      </x:c>
      <x:c r="H74" s="52" t="str">
        <x:v>number; figure / several; a few</x:v>
      </x:c>
      <x:c r="I74" s="52" t="str">
        <x:v>number; figure / several; a few</x:v>
      </x:c>
      <x:c r="J74" s="52" t="str">
        <x:v>hsk3-2025-11-1691-l4-shu4</x:v>
      </x:c>
      <x:c r="K74" s="54" t="n">
        <x:v>1691</x:v>
      </x:c>
      <x:c r="L74" s="55" t="n">
        <x:v>46296.5</x:v>
      </x:c>
    </x:row>
    <x:row r="75" ht="92" customHeight="1">
      <x:c r="A75" s="54" t="n">
        <x:v>71</x:v>
      </x:c>
      <x:c r="B75" s="54" t="n">
        <x:v>4</x:v>
      </x:c>
      <x:c r="C75" s="51" t="str">
        <x:v>台</x:v>
      </x:c>
      <x:c r="D75" s="50" t="str">
        <x:v>tái</x:v>
      </x:c>
      <x:c r="E75" s="50" t="str">
        <x:v>measure word</x:v>
      </x:c>
      <x:c r="F75" s="52" t="str">
        <x:v>(classical) you (in letters)</x:v>
      </x:c>
      <x:c r="G75" s="52" t="str">
        <x:v>classifier for machines or vehicles</x:v>
      </x:c>
      <x:c r="H75" s="52" t="str">
        <x:v>(classical) you (in letters) / variant of 台[tai2] / Taiwan (abbr.) / Taiwan (abbr.) / surname Tai / desk; table; counter / platform / stage / terrace / stand / support / station / broadcasting station / classifier for vehicles or machines / typhoon</x:v>
      </x:c>
      <x:c r="I75" s="52" t="str">
        <x:v>classifier for machines or vehicles</x:v>
      </x:c>
      <x:c r="J75" s="52" t="str">
        <x:v>hsk3-2025-11-1714-l4-tai2</x:v>
      </x:c>
      <x:c r="K75" s="54" t="n">
        <x:v>1714</x:v>
      </x:c>
      <x:c r="L75" s="55" t="n">
        <x:v>46296.5</x:v>
      </x:c>
    </x:row>
    <x:row r="76" ht="44" customHeight="1">
      <x:c r="A76" s="54" t="n">
        <x:v>72</x:v>
      </x:c>
      <x:c r="B76" s="54" t="n">
        <x:v>4</x:v>
      </x:c>
      <x:c r="C76" s="51" t="str">
        <x:v>趟</x:v>
      </x:c>
      <x:c r="D76" s="50" t="str">
        <x:v>tàng</x:v>
      </x:c>
      <x:c r="E76" s="50" t="str">
        <x:v>measure word</x:v>
      </x:c>
      <x:c r="F76" s="52" t="str">
        <x:v>classifier for times, round trips or rows</x:v>
      </x:c>
      <x:c r="G76" s="52" t="str">
        <x:v>trip; classifier for journeys or occurrences</x:v>
      </x:c>
      <x:c r="H76" s="52" t="str">
        <x:v>classifier for times, round trips or rows / a time / a trip</x:v>
      </x:c>
      <x:c r="I76" s="52" t="str">
        <x:v>trip; classifier for journeys or occurrences</x:v>
      </x:c>
      <x:c r="J76" s="52" t="str">
        <x:v>hsk3-2025-11-1722-l4-tang4</x:v>
      </x:c>
      <x:c r="K76" s="54" t="n">
        <x:v>1722</x:v>
      </x:c>
      <x:c r="L76" s="55" t="n">
        <x:v>46296.5</x:v>
      </x:c>
    </x:row>
    <x:row r="77" ht="68" customHeight="1">
      <x:c r="A77" s="54" t="n">
        <x:v>73</x:v>
      </x:c>
      <x:c r="B77" s="54" t="n">
        <x:v>4</x:v>
      </x:c>
      <x:c r="C77" s="51" t="str">
        <x:v>项</x:v>
      </x:c>
      <x:c r="D77" s="50" t="str">
        <x:v>xiàng</x:v>
      </x:c>
      <x:c r="E77" s="50" t="str">
        <x:v>measure word</x:v>
      </x:c>
      <x:c r="F77" s="52" t="str">
        <x:v>back of neck</x:v>
      </x:c>
      <x:c r="G77" s="52" t="str">
        <x:v>item; term</x:v>
      </x:c>
      <x:c r="H77" s="52" t="str">
        <x:v>back of neck / item / thing / term (in a mathematical formula) / sum (of money) / classifier for principles, items, clauses, tasks, research projects etc / surname Xiang</x:v>
      </x:c>
      <x:c r="I77" s="52" t="str">
        <x:v>item; term / classifier for projects or tasks</x:v>
      </x:c>
      <x:c r="J77" s="52" t="str">
        <x:v>hsk3-2025-11-1810-l4-xiang4</x:v>
      </x:c>
      <x:c r="K77" s="54" t="n">
        <x:v>1810</x:v>
      </x:c>
      <x:c r="L77" s="55" t="n">
        <x:v>46296.5</x:v>
      </x:c>
    </x:row>
    <x:row r="78" ht="80" customHeight="1">
      <x:c r="A78" s="54" t="n">
        <x:v>74</x:v>
      </x:c>
      <x:c r="B78" s="54" t="n">
        <x:v>4</x:v>
      </x:c>
      <x:c r="C78" s="51" t="str">
        <x:v>性</x:v>
      </x:c>
      <x:c r="D78" s="50" t="str">
        <x:v>xìng</x:v>
      </x:c>
      <x:c r="E78" s="50" t="str">
        <x:v>suffix</x:v>
      </x:c>
      <x:c r="F78" s="52" t="str">
        <x:v>nature</x:v>
      </x:c>
      <x:c r="G78" s="52" t="str">
        <x:v>quality; nature</x:v>
      </x:c>
      <x:c r="H78" s="52" t="str">
        <x:v>nature / character / property / quality / attribute / sexuality / sex / gender / suffix forming adjective from verb / suffix forming noun from adjective, corresponding to -ness or -ity / essence / CL:个[ge4]</x:v>
      </x:c>
      <x:c r="I78" s="52" t="str">
        <x:v>quality; nature / suffix corresponding to -ness or -ity</x:v>
      </x:c>
      <x:c r="J78" s="52" t="str">
        <x:v>hsk3-2025-11-1828-l4-xing4</x:v>
      </x:c>
      <x:c r="K78" s="54" t="n">
        <x:v>1828</x:v>
      </x:c>
      <x:c r="L78" s="55" t="n">
        <x:v>46296.5</x:v>
      </x:c>
    </x:row>
    <x:row r="79" ht="36" customHeight="1">
      <x:c r="A79" s="54" t="n">
        <x:v>75</x:v>
      </x:c>
      <x:c r="B79" s="54" t="n">
        <x:v>4</x:v>
      </x:c>
      <x:c r="C79" s="51" t="str">
        <x:v>夜</x:v>
      </x:c>
      <x:c r="D79" s="50" t="str">
        <x:v>yè</x:v>
      </x:c>
      <x:c r="E79" s="50" t="str">
        <x:v>noun, measure word</x:v>
      </x:c>
      <x:c r="F79" s="52" t="str">
        <x:v>night</x:v>
      </x:c>
      <x:c r="G79" s="52" t="str">
        <x:v>night</x:v>
      </x:c>
      <x:c r="H79" s="52" t="str">
        <x:v>night / variant of 夜[ye4]</x:v>
      </x:c>
      <x:c r="I79" s="52" t="str">
        <x:v>night</x:v>
      </x:c>
      <x:c r="J79" s="52" t="str">
        <x:v>hsk3-2025-11-1862-l4-ye4</x:v>
      </x:c>
      <x:c r="K79" s="54" t="n">
        <x:v>1862</x:v>
      </x:c>
      <x:c r="L79" s="55" t="n">
        <x:v>46296.5</x:v>
      </x:c>
    </x:row>
    <x:row r="80" ht="56" customHeight="1">
      <x:c r="A80" s="54" t="n">
        <x:v>76</x:v>
      </x:c>
      <x:c r="B80" s="54" t="n">
        <x:v>4</x:v>
      </x:c>
      <x:c r="C80" s="51" t="str">
        <x:v>由</x:v>
      </x:c>
      <x:c r="D80" s="50" t="str">
        <x:v>yóu</x:v>
      </x:c>
      <x:c r="E80" s="50" t="str">
        <x:v>preposition</x:v>
      </x:c>
      <x:c r="F80" s="52" t="str">
        <x:v>to follow</x:v>
      </x:c>
      <x:c r="G80" s="52" t="str">
        <x:v>by; through; via</x:v>
      </x:c>
      <x:c r="H80" s="52" t="str">
        <x:v>to follow / from / because of; due to / by; via; through / (before a noun and a verb) it is for ... to ...</x:v>
      </x:c>
      <x:c r="I80" s="52" t="str">
        <x:v>by; through; via / because of</x:v>
      </x:c>
      <x:c r="J80" s="52" t="str">
        <x:v>hsk3-2025-11-1884-l4-you2</x:v>
      </x:c>
      <x:c r="K80" s="54" t="n">
        <x:v>1884</x:v>
      </x:c>
      <x:c r="L80" s="55" t="n">
        <x:v>46296.5</x:v>
      </x:c>
    </x:row>
    <x:row r="81" ht="36" customHeight="1">
      <x:c r="A81" s="54" t="n">
        <x:v>77</x:v>
      </x:c>
      <x:c r="B81" s="54" t="n">
        <x:v>4</x:v>
      </x:c>
      <x:c r="C81" s="51" t="str">
        <x:v>与</x:v>
      </x:c>
      <x:c r="D81" s="50" t="str">
        <x:v>yǔ</x:v>
      </x:c>
      <x:c r="E81" s="50" t="str">
        <x:v>preposition, conjunction</x:v>
      </x:c>
      <x:c r="F81" s="52" t="str">
        <x:v>and</x:v>
      </x:c>
      <x:c r="G81" s="52" t="str">
        <x:v>and; with</x:v>
      </x:c>
      <x:c r="H81" s="52" t="str">
        <x:v>and / to give / together with</x:v>
      </x:c>
      <x:c r="I81" s="52" t="str">
        <x:v>and; with</x:v>
      </x:c>
      <x:c r="J81" s="52" t="str">
        <x:v>hsk3-2025-11-1897-l4-yu3</x:v>
      </x:c>
      <x:c r="K81" s="54" t="n">
        <x:v>1897</x:v>
      </x:c>
      <x:c r="L81" s="55" t="n">
        <x:v>46296.5</x:v>
      </x:c>
    </x:row>
    <x:row r="82" ht="56" customHeight="1">
      <x:c r="A82" s="54" t="n">
        <x:v>78</x:v>
      </x:c>
      <x:c r="B82" s="54" t="n">
        <x:v>4</x:v>
      </x:c>
      <x:c r="C82" s="51" t="str">
        <x:v>约</x:v>
      </x:c>
      <x:c r="D82" s="50" t="str">
        <x:v>yuē</x:v>
      </x:c>
      <x:c r="E82" s="50" t="str">
        <x:v>verb, adverb</x:v>
      </x:c>
      <x:c r="F82" s="52" t="str">
        <x:v>to make an appointment</x:v>
      </x:c>
      <x:c r="G82" s="52" t="str">
        <x:v>approximately; about</x:v>
      </x:c>
      <x:c r="H82" s="52" t="str">
        <x:v>to make an appointment / to invite / approximately / pact / treaty / to economize / to restrict / to reduce (a fraction) / concise</x:v>
      </x:c>
      <x:c r="I82" s="52" t="str">
        <x:v>approximately; about / to arrange an appointment</x:v>
      </x:c>
      <x:c r="J82" s="52" t="str">
        <x:v>hsk3-2025-11-1906-l4-yue1</x:v>
      </x:c>
      <x:c r="K82" s="54" t="n">
        <x:v>1906</x:v>
      </x:c>
      <x:c r="L82" s="55" t="n">
        <x:v>46296.5</x:v>
      </x:c>
    </x:row>
    <x:row r="83" ht="96" customHeight="1">
      <x:c r="A83" s="54" t="n">
        <x:v>79</x:v>
      </x:c>
      <x:c r="B83" s="54" t="n">
        <x:v>4</x:v>
      </x:c>
      <x:c r="C83" s="51" t="str">
        <x:v>者</x:v>
      </x:c>
      <x:c r="D83" s="50" t="str">
        <x:v>zhě</x:v>
      </x:c>
      <x:c r="E83" s="50" t="str">
        <x:v>particle</x:v>
      </x:c>
      <x:c r="F83" s="52" t="str">
        <x:v>(after a verb or adjective) one who (is) ...</x:v>
      </x:c>
      <x:c r="G83" s="52" t="str">
        <x:v>one who; person who</x:v>
      </x:c>
      <x:c r="H83" s="52" t="str">
        <x:v>(after a verb or adjective) one who (is) ... / (after a noun) person involved in ... / -er / -ist / (used after a number or 后[hou4] or 前[qian2] to refer to sth mentioned previously) / (used after a term, to mark a pause before defining the term) / (old) (used at the end of a command) / (old) this</x:v>
      </x:c>
      <x:c r="I83" s="52" t="str">
        <x:v>one who; person who / suffix corresponding to -er or -ist</x:v>
      </x:c>
      <x:c r="J83" s="52" t="str">
        <x:v>hsk3-2025-11-1926-l4-zhe3</x:v>
      </x:c>
      <x:c r="K83" s="54" t="n">
        <x:v>1926</x:v>
      </x:c>
      <x:c r="L83" s="55" t="n">
        <x:v>46296.5</x:v>
      </x:c>
    </x:row>
    <x:row r="84" ht="44" customHeight="1">
      <x:c r="A84" s="54" t="n">
        <x:v>80</x:v>
      </x:c>
      <x:c r="B84" s="54" t="n">
        <x:v>4</x:v>
      </x:c>
      <x:c r="C84" s="51" t="str">
        <x:v>之</x:v>
      </x:c>
      <x:c r="D84" s="50" t="str">
        <x:v>zhī</x:v>
      </x:c>
      <x:c r="E84" s="50" t="str">
        <x:v>particle</x:v>
      </x:c>
      <x:c r="F84" s="52" t="str">
        <x:v>(possessive particle, literary equivalent of 的[de5])</x:v>
      </x:c>
      <x:c r="G84" s="52" t="str">
        <x:v>possessive particle; literary equivalent of 的</x:v>
      </x:c>
      <x:c r="H84" s="52" t="str">
        <x:v>(possessive particle, literary equivalent of 的[de5]) / him / her / it</x:v>
      </x:c>
      <x:c r="I84" s="52" t="str">
        <x:v>possessive particle; literary equivalent of 的</x:v>
      </x:c>
      <x:c r="J84" s="52" t="str">
        <x:v>hsk3-2025-11-1938-l4-zhi1</x:v>
      </x:c>
      <x:c r="K84" s="54" t="n">
        <x:v>1938</x:v>
      </x:c>
      <x:c r="L84" s="55" t="n">
        <x:v>46296.5</x:v>
      </x:c>
    </x:row>
    <x:row r="85" ht="44" customHeight="1">
      <x:c r="A85" s="54" t="n">
        <x:v>81</x:v>
      </x:c>
      <x:c r="B85" s="54" t="n">
        <x:v>4</x:v>
      </x:c>
      <x:c r="C85" s="51" t="str">
        <x:v>自</x:v>
      </x:c>
      <x:c r="D85" s="50" t="str">
        <x:v>zì</x:v>
      </x:c>
      <x:c r="E85" s="50" t="str">
        <x:v>preposition</x:v>
      </x:c>
      <x:c r="F85" s="52" t="str">
        <x:v>(bound form) self; oneself</x:v>
      </x:c>
      <x:c r="G85" s="52" t="str">
        <x:v>from; since</x:v>
      </x:c>
      <x:c r="H85" s="52" t="str">
        <x:v>(bound form) self; oneself / from; since / naturally; as a matter of course</x:v>
      </x:c>
      <x:c r="I85" s="52" t="str">
        <x:v>from; since</x:v>
      </x:c>
      <x:c r="J85" s="52" t="str">
        <x:v>hsk3-2025-11-1980-l4-zi4</x:v>
      </x:c>
      <x:c r="K85" s="54" t="n">
        <x:v>1980</x:v>
      </x:c>
      <x:c r="L85" s="55" t="n">
        <x:v>46296.5</x:v>
      </x:c>
    </x:row>
    <x:row r="86" ht="80" customHeight="1">
      <x:c r="A86" s="54" t="n">
        <x:v>82</x:v>
      </x:c>
      <x:c r="B86" s="54" t="n">
        <x:v>4</x:v>
      </x:c>
      <x:c r="C86" s="51" t="str">
        <x:v>座</x:v>
      </x:c>
      <x:c r="D86" s="50" t="str">
        <x:v>zuò</x:v>
      </x:c>
      <x:c r="E86" s="50" t="str">
        <x:v>noun, measure word</x:v>
      </x:c>
      <x:c r="F86" s="52" t="str">
        <x:v>seat</x:v>
      </x:c>
      <x:c r="G86" s="52" t="str">
        <x:v>seat; base</x:v>
      </x:c>
      <x:c r="H86" s="52" t="str">
        <x:v>seat / base; stand / (bound form) constellation / (archaic) suffix used in a respectful form of address (e.g. 师座[shi1 zuo4]) / classifier for large immovable objects such as buildings, mountains, bridges etc</x:v>
      </x:c>
      <x:c r="I86" s="52" t="str">
        <x:v>seat; base / classifier for large stationary objects</x:v>
      </x:c>
      <x:c r="J86" s="52" t="str">
        <x:v>hsk3-2025-11-1991-l4-zuo4</x:v>
      </x:c>
      <x:c r="K86" s="54" t="n">
        <x:v>1991</x:v>
      </x:c>
      <x:c r="L86" s="55" t="n">
        <x:v>46296.5</x:v>
      </x:c>
    </x:row>
    <x:row r="87" ht="68" customHeight="1">
      <x:c r="A87" s="54" t="n">
        <x:v>83</x:v>
      </x:c>
      <x:c r="B87" s="54" t="n">
        <x:v>4</x:v>
      </x:c>
      <x:c r="C87" s="51" t="str">
        <x:v>作为</x:v>
      </x:c>
      <x:c r="D87" s="50" t="str">
        <x:v>zuòwéi</x:v>
      </x:c>
      <x:c r="E87" s="50" t="str">
        <x:v>verb, preposition</x:v>
      </x:c>
      <x:c r="F87" s="52" t="str">
        <x:v>one's conduct</x:v>
      </x:c>
      <x:c r="G87" s="52" t="str">
        <x:v>to act as</x:v>
      </x:c>
      <x:c r="H87" s="52" t="str">
        <x:v>one's conduct / deed / activity / accomplishment / achievement / to act as / as (in the capacity of) / qua / to view as / to look upon (sth as) / to take sth to be</x:v>
      </x:c>
      <x:c r="I87" s="52" t="str">
        <x:v>to act as / as; in the capacity of</x:v>
      </x:c>
      <x:c r="J87" s="52" t="str">
        <x:v>hsk3-2025-11-1996-l4-zuo4-wei2</x:v>
      </x:c>
      <x:c r="K87" s="54" t="n">
        <x:v>1996</x:v>
      </x:c>
      <x:c r="L87" s="55" t="n">
        <x:v>46296.5</x:v>
      </x:c>
    </x:row>
  </x:sheetData>
  <x:conditionalFormatting sqref="B5:B87">
    <x:cfRule type="cellIs" dxfId="0" priority="1" operator="equal">
      <x:formula>1</x:formula>
    </x:cfRule>
    <x:cfRule type="cellIs" dxfId="1" priority="2" operator="equal">
      <x:formula>3</x:formula>
    </x:cfRule>
    <x:cfRule type="cellIs" dxfId="2" priority="3" operator="equal">
      <x:formula>4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b9848002c454d03"/>
  </x:tableParts>
</x:worksheet>
</file>